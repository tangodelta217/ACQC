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Beneficios_Energia" sheetId="3" state="visible" r:id="rId3"/>
    <sheet xmlns:r="http://schemas.openxmlformats.org/officeDocument/2006/relationships" name="Beneficios_Calidad" sheetId="4" state="visible" r:id="rId4"/>
    <sheet xmlns:r="http://schemas.openxmlformats.org/officeDocument/2006/relationships" name="Beneficios_Disponibilidad" sheetId="5" state="visible" r:id="rId5"/>
    <sheet xmlns:r="http://schemas.openxmlformats.org/officeDocument/2006/relationships" name="Costes" sheetId="6" state="visible" r:id="rId6"/>
    <sheet xmlns:r="http://schemas.openxmlformats.org/officeDocument/2006/relationships" name="Sensibilidad" sheetId="7" state="visible" r:id="rId7"/>
    <sheet xmlns:r="http://schemas.openxmlformats.org/officeDocument/2006/relationships" name="Trazabilidad" sheetId="8" state="visible" r:id="rId8"/>
  </sheets>
  <definedNames>
    <definedName name="_xlnm._FilterDatabase" localSheetId="7" hidden="1">'Trazabilidad'!$A$3:$I$31</definedName>
  </definedNames>
</workbook>
</file>

<file path=xl/styles.xml><?xml version="1.0" encoding="utf-8"?>
<styleSheet xmlns="http://schemas.openxmlformats.org/spreadsheetml/2006/main">
  <numFmts count="2">
    <numFmt numFmtId="164" formatCode="€#,##0;[Red](€#,##0);&quot;-&quot;"/>
    <numFmt numFmtId="165" formatCode="0.0"/>
  </numFmts>
  <fonts count="11">
    <font>
      <name val="Calibri"/>
      <family val="2"/>
      <color theme="1"/>
      <sz val="11"/>
      <scheme val="minor"/>
    </font>
    <font>
      <name val="Helvetica"/>
      <b val="1"/>
      <color rgb="00004682"/>
      <sz val="16"/>
    </font>
    <font>
      <name val="Times New Roman"/>
      <color rgb="00666666"/>
      <sz val="10"/>
    </font>
    <font>
      <name val="Helvetica"/>
      <b val="1"/>
      <color rgb="00FFFFFF"/>
      <sz val="11"/>
    </font>
    <font>
      <name val="Times New Roman"/>
      <b val="1"/>
      <sz val="10"/>
    </font>
    <font>
      <name val="Times New Roman"/>
      <color rgb="00000000"/>
      <sz val="10"/>
    </font>
    <font>
      <name val="Times New Roman"/>
      <color rgb="000000FF"/>
      <sz val="10"/>
    </font>
    <font>
      <name val="Times New Roman"/>
      <b val="1"/>
      <color rgb="00666666"/>
      <sz val="10"/>
    </font>
    <font>
      <name val="Times New Roman"/>
      <color rgb="00008000"/>
      <sz val="10"/>
    </font>
    <font>
      <name val="Times New Roman"/>
      <b val="1"/>
      <color rgb="00004682"/>
      <sz val="10"/>
    </font>
    <font>
      <name val="Helvetica"/>
      <b val="1"/>
      <color rgb="00004682"/>
      <sz val="12"/>
    </font>
  </fonts>
  <fills count="4">
    <fill>
      <patternFill/>
    </fill>
    <fill>
      <patternFill patternType="gray125"/>
    </fill>
    <fill>
      <patternFill patternType="solid">
        <fgColor rgb="00004682"/>
      </patternFill>
    </fill>
    <fill>
      <patternFill patternType="solid">
        <fgColor rgb="00EAF2F8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 wrapText="1"/>
    </xf>
    <xf numFmtId="2" fontId="4" fillId="0" borderId="1" applyAlignment="1" pivotButton="0" quotePrefix="0" xfId="0">
      <alignment horizontal="right" vertical="center" wrapText="1"/>
    </xf>
    <xf numFmtId="165" fontId="4" fillId="0" borderId="1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right" vertical="center" wrapText="1"/>
    </xf>
    <xf numFmtId="165" fontId="5" fillId="0" borderId="1" applyAlignment="1" pivotButton="0" quotePrefix="0" xfId="0">
      <alignment horizontal="right" vertical="center" wrapText="1"/>
    </xf>
    <xf numFmtId="1" fontId="8" fillId="0" borderId="1" applyAlignment="1" pivotButton="0" quotePrefix="0" xfId="0">
      <alignment horizontal="right" vertical="center" wrapText="1"/>
    </xf>
    <xf numFmtId="165" fontId="8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right" vertical="center" wrapText="1"/>
    </xf>
    <xf numFmtId="2" fontId="8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10" fillId="3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165" fontId="4" fillId="0" borderId="1" applyAlignment="1" pivotButton="0" quotePrefix="0" xfId="0">
      <alignment horizontal="right" vertical="center" wrapText="1"/>
    </xf>
    <xf numFmtId="164" fontId="8" fillId="0" borderId="1" applyAlignment="1" pivotButton="0" quotePrefix="0" xfId="0">
      <alignment horizontal="right" vertical="center" wrapText="1"/>
    </xf>
    <xf numFmtId="165" fontId="5" fillId="0" borderId="1" applyAlignment="1" pivotButton="0" quotePrefix="0" xfId="0">
      <alignment horizontal="right" vertical="center" wrapText="1"/>
    </xf>
    <xf numFmtId="165" fontId="8" fillId="0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164" fontId="4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/>
  </cellStyles>
  <dxfs count="2">
    <dxf>
      <fill>
        <patternFill>
          <bgColor rgb="00FFF2CC"/>
        </patternFill>
      </fill>
    </dxf>
    <dxf>
      <fill>
        <patternFill>
          <bgColor rgb="00F8D7D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Impacto (ΔNPV) por supuesto — Base ±20%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bar"/>
        <grouping val="clustered"/>
        <ser>
          <idx val="0"/>
          <order val="0"/>
          <tx>
            <strRef>
              <f>'Sensibilidad'!I31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'Sensibilidad'!$A$32:$A$36</f>
              <strCache>
                <ptCount val="0"/>
              </strCache>
            </strRef>
          </cat>
          <val>
            <numRef>
              <f>'Sensibilidad'!$I$32:$I$36</f>
              <numCache>
                <ptCount val="0"/>
              </numCache>
            </numRef>
          </val>
        </ser>
        <dLbls>
          <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  <a:r>
                <a:t/>
              </a:r>
            </a:p>
          </txPr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ACQC</author>
  </authors>
  <commentList>
    <comment ref="E4" authorId="0" shapeId="0">
      <text>
        <t>SUPUESTO: Constante de calendario (sin año específico).
Ref: https://github.com/tangodelta217/ACQC</t>
      </text>
    </comment>
    <comment ref="F4" authorId="0" shapeId="0">
      <text>
        <t>SUPUESTO: Constante de calendario (sin año específico).
Ref: https://github.com/tangodelta217/ACQC</t>
      </text>
    </comment>
    <comment ref="G4" authorId="0" shapeId="0">
      <text>
        <t>SUPUESTO: Constante de calendario (sin año específico).
Ref: https://github.com/tangodelta217/ACQC</t>
      </text>
    </comment>
    <comment ref="E5" authorId="0" shapeId="0">
      <text>
        <t>SUPUESTO: Definición interna: ±20% (bajo).
Ref: https://github.com/tangodelta217/ACQC</t>
      </text>
    </comment>
    <comment ref="F5" authorId="0" shapeId="0">
      <text>
        <t>SUPUESTO: Definición interna: ±20% (bajo).
Ref: https://github.com/tangodelta217/ACQC</t>
      </text>
    </comment>
    <comment ref="G5" authorId="0" shapeId="0">
      <text>
        <t>SUPUESTO: Definición interna: ±20% (bajo).
Ref: https://github.com/tangodelta217/ACQC</t>
      </text>
    </comment>
    <comment ref="E6" authorId="0" shapeId="0">
      <text>
        <t>SUPUESTO: Definición interna: ±20% (alto).
Ref: https://github.com/tangodelta217/ACQC</t>
      </text>
    </comment>
    <comment ref="F6" authorId="0" shapeId="0">
      <text>
        <t>SUPUESTO: Definición interna: ±20% (alto).
Ref: https://github.com/tangodelta217/ACQC</t>
      </text>
    </comment>
    <comment ref="G6" authorId="0" shapeId="0">
      <text>
        <t>SUPUESTO: Definición interna: ±20% (alto).
Ref: https://github.com/tangodelta217/ACQC</t>
      </text>
    </comment>
    <comment ref="E7" authorId="0" shapeId="0">
      <text>
        <t>SUPUESTO: Supuesto estándar para pilotos industriales; ajustar a política financiera.
Ref: https://github.com/tangodelta217/ACQC</t>
      </text>
    </comment>
    <comment ref="F7" authorId="0" shapeId="0">
      <text>
        <t>SUPUESTO: Supuesto estándar para pilotos industriales; ajustar a política financiera.
Ref: https://github.com/tangodelta217/ACQC</t>
      </text>
    </comment>
    <comment ref="G7" authorId="0" shapeId="0">
      <text>
        <t>SUPUESTO: Supuesto estándar para pilotos industriales; ajustar a política financiera.
Ref: https://github.com/tangodelta217/ACQC</t>
      </text>
    </comment>
    <comment ref="E8" authorId="0" shapeId="0">
      <text>
        <t>SUPUESTO: Supuesto inicial; reemplazar por tasa corporativa.
Ref: https://github.com/tangodelta217/ACQC</t>
      </text>
    </comment>
    <comment ref="F8" authorId="0" shapeId="0">
      <text>
        <t>SUPUESTO: Supuesto inicial; reemplazar por tasa corporativa.
Ref: https://github.com/tangodelta217/ACQC</t>
      </text>
    </comment>
    <comment ref="G8" authorId="0" shapeId="0">
      <text>
        <t>SUPUESTO: Supuesto inicial; reemplazar por tasa corporativa.
Ref: https://github.com/tangodelta217/ACQC</t>
      </text>
    </comment>
    <comment ref="E9" authorId="0" shapeId="0">
      <text>
        <t>SUPUESTO: Modo asesor con operador en el bucle; adopción parcial es realista.
Ref: https://github.com/tangodelta217/ACQC</t>
      </text>
    </comment>
    <comment ref="F9" authorId="0" shapeId="0">
      <text>
        <t>SUPUESTO: Modo asesor con operador en el bucle; adopción parcial es realista.
Ref: https://github.com/tangodelta217/ACQC</t>
      </text>
    </comment>
    <comment ref="G9" authorId="0" shapeId="0">
      <text>
        <t>SUPUESTO: Modo asesor con operador en el bucle; adopción parcial es realista.
Ref: https://github.com/tangodelta217/ACQC</t>
      </text>
    </comment>
    <comment ref="E10" authorId="0" shapeId="0">
      <text>
        <t>SUPUESTO: Depende de histórico local; establecer con OT/Operación.
Ref: https://github.com/tangodelta217/ACQC</t>
      </text>
    </comment>
    <comment ref="F10" authorId="0" shapeId="0">
      <text>
        <t>SUPUESTO: Depende de histórico local; establecer con OT/Operación.
Ref: https://github.com/tangodelta217/ACQC</t>
      </text>
    </comment>
    <comment ref="G10" authorId="0" shapeId="0">
      <text>
        <t>SUPUESTO: Depende de histórico local; establecer con OT/Operación.
Ref: https://github.com/tangodelta217/ACQC</t>
      </text>
    </comment>
    <comment ref="E11" authorId="0" shapeId="0">
      <text>
        <t>SUPUESTO: Se incluyen flujos degradados (fallback) y observabilidad; cuantificar con incidentes reales.
Ref: https://github.com/tangodelta217/ACQC</t>
      </text>
    </comment>
    <comment ref="F11" authorId="0" shapeId="0">
      <text>
        <t>SUPUESTO: Se incluyen flujos degradados (fallback) y observabilidad; cuantificar con incidentes reales.
Ref: https://github.com/tangodelta217/ACQC</t>
      </text>
    </comment>
    <comment ref="G11" authorId="0" shapeId="0">
      <text>
        <t>SUPUESTO: Se incluyen flujos degradados (fallback) y observabilidad; cuantificar con incidentes reales.
Ref: https://github.com/tangodelta217/ACQC</t>
      </text>
    </comment>
    <comment ref="E12" authorId="0" shapeId="0">
      <text>
        <t>SUPUESTO: Requiere definir unidad y corriente en Puertollano; placeholder editable.
Ref: https://github.com/tangodelta217/ACQC</t>
      </text>
    </comment>
    <comment ref="F12" authorId="0" shapeId="0">
      <text>
        <t>SUPUESTO: Requiere definir unidad y corriente en Puertollano; placeholder editable.
Ref: https://github.com/tangodelta217/ACQC</t>
      </text>
    </comment>
    <comment ref="G12" authorId="0" shapeId="0">
      <text>
        <t>SUPUESTO: Requiere definir unidad y corriente en Puertollano; placeholder editable.
Ref: https://github.com/tangodelta217/ACQC</t>
      </text>
    </comment>
    <comment ref="E13" authorId="0" shapeId="0">
      <text>
        <t>SUPUESTO: Depende de slate y mercado; usar contabilidad de gestión.
Ref: https://github.com/tangodelta217/ACQC</t>
      </text>
    </comment>
    <comment ref="F13" authorId="0" shapeId="0">
      <text>
        <t>SUPUESTO: Depende de slate y mercado; usar contabilidad de gestión.
Ref: https://github.com/tangodelta217/ACQC</t>
      </text>
    </comment>
    <comment ref="G13" authorId="0" shapeId="0">
      <text>
        <t>SUPUESTO: Depende de slate y mercado; usar contabilidad de gestión.
Ref: https://github.com/tangodelta217/ACQC</t>
      </text>
    </comment>
    <comment ref="E14" authorId="0" shapeId="0">
      <text>
        <t>FUENTE: Doc ACQC_Optimizacion.pdf (2026): mejora esperada de throughput/rendimiento ~3% (resultados esperados; validar).
Ref: https://github.com/tangodelta217/ACQC</t>
      </text>
    </comment>
    <comment ref="F14" authorId="0" shapeId="0">
      <text>
        <t>FUENTE: Doc ACQC_Optimizacion.pdf (2026): mejora esperada de throughput/rendimiento ~3% (resultados esperados; validar).
Ref: https://github.com/tangodelta217/ACQC</t>
      </text>
    </comment>
    <comment ref="G14" authorId="0" shapeId="0">
      <text>
        <t>FUENTE: Doc ACQC_Optimizacion.pdf (2026): mejora esperada de throughput/rendimiento ~3% (resultados esperados; validar).
Ref: https://github.com/tangodelta217/ACQC</t>
      </text>
    </comment>
    <comment ref="E15" authorId="0" shapeId="0">
      <text>
        <t>SUPUESTO: Depende de la unidad (hidrotratamiento/blending/etc.); estimación inicial editable.
Ref: https://github.com/tangodelta217/ACQC</t>
      </text>
    </comment>
    <comment ref="F15" authorId="0" shapeId="0">
      <text>
        <t>SUPUESTO: Depende de la unidad (hidrotratamiento/blending/etc.); estimación inicial editable.
Ref: https://github.com/tangodelta217/ACQC</t>
      </text>
    </comment>
    <comment ref="G15" authorId="0" shapeId="0">
      <text>
        <t>SUPUESTO: Depende de la unidad (hidrotratamiento/blending/etc.); estimación inicial editable.
Ref: https://github.com/tangodelta217/ACQC</t>
      </text>
    </comment>
    <comment ref="E16" authorId="0" shapeId="0">
      <text>
        <t>SUPUESTO: Depende de mix energético interno (fuel/vapor/electricidad); fijar con Finanzas/Energía.
Ref: https://github.com/tangodelta217/ACQC</t>
      </text>
    </comment>
    <comment ref="F16" authorId="0" shapeId="0">
      <text>
        <t>SUPUESTO: Depende de mix energético interno (fuel/vapor/electricidad); fijar con Finanzas/Energía.
Ref: https://github.com/tangodelta217/ACQC</t>
      </text>
    </comment>
    <comment ref="G16" authorId="0" shapeId="0">
      <text>
        <t>SUPUESTO: Depende de mix energético interno (fuel/vapor/electricidad); fijar con Finanzas/Energía.
Ref: https://github.com/tangodelta217/ACQC</t>
      </text>
    </comment>
    <comment ref="E17" authorId="0" shapeId="0">
      <text>
        <t>FUENTE: Doc ACQC_Optimizacion.pdf (2026): ahorro energético esperado ~5% (resultados esperados; validar).
Ref: https://github.com/tangodelta217/ACQC</t>
      </text>
    </comment>
    <comment ref="F17" authorId="0" shapeId="0">
      <text>
        <t>FUENTE: Doc ACQC_Optimizacion.pdf (2026): ahorro energético esperado ~5% (resultados esperados; validar).
Ref: https://github.com/tangodelta217/ACQC</t>
      </text>
    </comment>
    <comment ref="G17" authorId="0" shapeId="0">
      <text>
        <t>FUENTE: Doc ACQC_Optimizacion.pdf (2026): ahorro energético esperado ~5% (resultados esperados; validar).
Ref: https://github.com/tangodelta217/ACQC</t>
      </text>
    </comment>
    <comment ref="E18" authorId="0" shapeId="0">
      <text>
        <t>SUPUESTO: Depende de histórico de lotes fuera de especificación; definir con QA.
Ref: https://github.com/tangodelta217/ACQC</t>
      </text>
    </comment>
    <comment ref="F18" authorId="0" shapeId="0">
      <text>
        <t>SUPUESTO: Depende de histórico de lotes fuera de especificación; definir con QA.
Ref: https://github.com/tangodelta217/ACQC</t>
      </text>
    </comment>
    <comment ref="G18" authorId="0" shapeId="0">
      <text>
        <t>SUPUESTO: Depende de histórico de lotes fuera de especificación; definir con QA.
Ref: https://github.com/tangodelta217/ACQC</t>
      </text>
    </comment>
    <comment ref="E19" authorId="0" shapeId="0">
      <text>
        <t>SUPUESTO: Incluye reproceso, pérdida de margen y logística; cuantificar con contabilidad.
Ref: https://github.com/tangodelta217/ACQC</t>
      </text>
    </comment>
    <comment ref="F19" authorId="0" shapeId="0">
      <text>
        <t>SUPUESTO: Incluye reproceso, pérdida de margen y logística; cuantificar con contabilidad.
Ref: https://github.com/tangodelta217/ACQC</t>
      </text>
    </comment>
    <comment ref="G19" authorId="0" shapeId="0">
      <text>
        <t>SUPUESTO: Incluye reproceso, pérdida de margen y logística; cuantificar con contabilidad.
Ref: https://github.com/tangodelta217/ACQC</t>
      </text>
    </comment>
    <comment ref="E20" authorId="0" shapeId="0">
      <text>
        <t>SUPUESTO: Mejoras por detección temprana (soft sensors + PAT) antes del laboratorio; validar en piloto.
Ref: https://github.com/tangodelta217/ACQC</t>
      </text>
    </comment>
    <comment ref="F20" authorId="0" shapeId="0">
      <text>
        <t>SUPUESTO: Mejoras por detección temprana (soft sensors + PAT) antes del laboratorio; validar en piloto.
Ref: https://github.com/tangodelta217/ACQC</t>
      </text>
    </comment>
    <comment ref="G20" authorId="0" shapeId="0">
      <text>
        <t>SUPUESTO: Mejoras por detección temprana (soft sensors + PAT) antes del laboratorio; validar en piloto.
Ref: https://github.com/tangodelta217/ACQC</t>
      </text>
    </comment>
    <comment ref="E21" authorId="0" shapeId="0">
      <text>
        <t>FUENTE: Doc ACQC_OnePager.pdf (2026): disponibilidad objetivo del servicio (KPI de operación).
Ref: https://github.com/tangodelta217/ACQC</t>
      </text>
    </comment>
    <comment ref="F21" authorId="0" shapeId="0">
      <text>
        <t>FUENTE: Doc ACQC_OnePager.pdf (2026): disponibilidad objetivo del servicio (KPI de operación).
Ref: https://github.com/tangodelta217/ACQC</t>
      </text>
    </comment>
    <comment ref="G21" authorId="0" shapeId="0">
      <text>
        <t>FUENTE: Doc ACQC_OnePager.pdf (2026): disponibilidad objetivo del servicio (KPI de operación).
Ref: https://github.com/tangodelta217/ACQC</t>
      </text>
    </comment>
    <comment ref="E22" authorId="0" shapeId="0">
      <text>
        <t>SUPUESTO: Depende de fabricante, instalación e ingeniería; cotizar con proveedores.
Ref: https://github.com/tangodelta217/ACQC</t>
      </text>
    </comment>
    <comment ref="F22" authorId="0" shapeId="0">
      <text>
        <t>SUPUESTO: Depende de fabricante, instalación e ingeniería; cotizar con proveedores.
Ref: https://github.com/tangodelta217/ACQC</t>
      </text>
    </comment>
    <comment ref="G22" authorId="0" shapeId="0">
      <text>
        <t>SUPUESTO: Depende de fabricante, instalación e ingeniería; cotizar con proveedores.
Ref: https://github.com/tangodelta217/ACQC</t>
      </text>
    </comment>
    <comment ref="E23" authorId="0" shapeId="0">
      <text>
        <t>SUPUESTO: Equipo industrial en DMZ con redundancia opcional; estimación inicial.
Ref: https://github.com/tangodelta217/ACQC</t>
      </text>
    </comment>
    <comment ref="F23" authorId="0" shapeId="0">
      <text>
        <t>SUPUESTO: Equipo industrial en DMZ con redundancia opcional; estimación inicial.
Ref: https://github.com/tangodelta217/ACQC</t>
      </text>
    </comment>
    <comment ref="G23" authorId="0" shapeId="0">
      <text>
        <t>SUPUESTO: Equipo industrial en DMZ con redundancia opcional; estimación inicial.
Ref: https://github.com/tangodelta217/ACQC</t>
      </text>
    </comment>
    <comment ref="E24" authorId="0" shapeId="0">
      <text>
        <t>SUPUESTO: Horas de ingeniería + pruebas; depende de accesos y complejidad OT.
Ref: https://github.com/tangodelta217/ACQC</t>
      </text>
    </comment>
    <comment ref="F24" authorId="0" shapeId="0">
      <text>
        <t>SUPUESTO: Horas de ingeniería + pruebas; depende de accesos y complejidad OT.
Ref: https://github.com/tangodelta217/ACQC</t>
      </text>
    </comment>
    <comment ref="G24" authorId="0" shapeId="0">
      <text>
        <t>SUPUESTO: Horas de ingeniería + pruebas; depende de accesos y complejidad OT.
Ref: https://github.com/tangodelta217/ACQC</t>
      </text>
    </comment>
    <comment ref="E25" authorId="0" shapeId="0">
      <text>
        <t>SUPUESTO: Incluye hardening, logging central, PKI local; depende de políticas corporativas.
Ref: https://github.com/tangodelta217/ACQC</t>
      </text>
    </comment>
    <comment ref="F25" authorId="0" shapeId="0">
      <text>
        <t>SUPUESTO: Incluye hardening, logging central, PKI local; depende de políticas corporativas.
Ref: https://github.com/tangodelta217/ACQC</t>
      </text>
    </comment>
    <comment ref="G25" authorId="0" shapeId="0">
      <text>
        <t>SUPUESTO: Incluye hardening, logging central, PKI local; depende de políticas corporativas.
Ref: https://github.com/tangodelta217/ACQC</t>
      </text>
    </comment>
    <comment ref="E26" authorId="0" shapeId="0">
      <text>
        <t>SUPUESTO: Formación operadores/QA + documentación + MOC (si aplica).
Ref: https://github.com/tangodelta217/ACQC</t>
      </text>
    </comment>
    <comment ref="F26" authorId="0" shapeId="0">
      <text>
        <t>SUPUESTO: Formación operadores/QA + documentación + MOC (si aplica).
Ref: https://github.com/tangodelta217/ACQC</t>
      </text>
    </comment>
    <comment ref="G26" authorId="0" shapeId="0">
      <text>
        <t>SUPUESTO: Formación operadores/QA + documentación + MOC (si aplica).
Ref: https://github.com/tangodelta217/ACQC</t>
      </text>
    </comment>
    <comment ref="E27" authorId="0" shapeId="0">
      <text>
        <t>SUPUESTO: Buenas prácticas de estimación para pilotos.
Ref: https://github.com/tangodelta217/ACQC</t>
      </text>
    </comment>
    <comment ref="F27" authorId="0" shapeId="0">
      <text>
        <t>SUPUESTO: Buenas prácticas de estimación para pilotos.
Ref: https://github.com/tangodelta217/ACQC</t>
      </text>
    </comment>
    <comment ref="G27" authorId="0" shapeId="0">
      <text>
        <t>SUPUESTO: Buenas prácticas de estimación para pilotos.
Ref: https://github.com/tangodelta217/ACQC</t>
      </text>
    </comment>
    <comment ref="E28" authorId="0" shapeId="0">
      <text>
        <t>SUPUESTO: Contrato de mantenimiento y recalibración periódica; dependerá del sensor.
Ref: https://github.com/tangodelta217/ACQC</t>
      </text>
    </comment>
    <comment ref="F28" authorId="0" shapeId="0">
      <text>
        <t>SUPUESTO: Contrato de mantenimiento y recalibración periódica; dependerá del sensor.
Ref: https://github.com/tangodelta217/ACQC</t>
      </text>
    </comment>
    <comment ref="G28" authorId="0" shapeId="0">
      <text>
        <t>SUPUESTO: Contrato de mantenimiento y recalibración periódica; dependerá del sensor.
Ref: https://github.com/tangodelta217/ACQC</t>
      </text>
    </comment>
    <comment ref="E29" authorId="0" shapeId="0">
      <text>
        <t>SUPUESTO: Dedicación parcial (data/OT) para mantener modelos y validación.
Ref: https://github.com/tangodelta217/ACQC</t>
      </text>
    </comment>
    <comment ref="F29" authorId="0" shapeId="0">
      <text>
        <t>SUPUESTO: Dedicación parcial (data/OT) para mantener modelos y validación.
Ref: https://github.com/tangodelta217/ACQC</t>
      </text>
    </comment>
    <comment ref="G29" authorId="0" shapeId="0">
      <text>
        <t>SUPUESTO: Dedicación parcial (data/OT) para mantener modelos y validación.
Ref: https://github.com/tangodelta217/ACQC</t>
      </text>
    </comment>
    <comment ref="E30" authorId="0" shapeId="0">
      <text>
        <t>SUPUESTO: Depende de SOC/CSIRT y herramientas existentes; estimación inicial.
Ref: https://github.com/tangodelta217/ACQC</t>
      </text>
    </comment>
    <comment ref="F30" authorId="0" shapeId="0">
      <text>
        <t>SUPUESTO: Depende de SOC/CSIRT y herramientas existentes; estimación inicial.
Ref: https://github.com/tangodelta217/ACQC</t>
      </text>
    </comment>
    <comment ref="G30" authorId="0" shapeId="0">
      <text>
        <t>SUPUESTO: Depende de SOC/CSIRT y herramientas existentes; estimación inicial.
Ref: https://github.com/tangodelta217/ACQC</t>
      </text>
    </comment>
    <comment ref="E31" authorId="0" shapeId="0">
      <text>
        <t>SUPUESTO: Puede ser 0 si se usa infraestructura existente; confirmar.
Ref: https://github.com/tangodelta217/ACQC</t>
      </text>
    </comment>
    <comment ref="F31" authorId="0" shapeId="0">
      <text>
        <t>SUPUESTO: Puede ser 0 si se usa infraestructura existente; confirmar.
Ref: https://github.com/tangodelta217/ACQC</t>
      </text>
    </comment>
    <comment ref="G31" authorId="0" shapeId="0">
      <text>
        <t>SUPUESTO: Puede ser 0 si se usa infraestructura existente; confirmar.
Ref: https://github.com/tangodelta217/ACQC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Business Case — ROI / Payback (ACQC Repsol Puertollano)</t>
        </is>
      </c>
    </row>
    <row r="2" ht="28" customHeight="1">
      <c r="A2" s="2" t="inlineStr">
        <is>
          <t>Modelo de ROI basado en supuestos explícitos y resultados esperados (no medidos). Ajustar con datos de historian/LIMS, QA y cotizaciones.</t>
        </is>
      </c>
    </row>
    <row r="4">
      <c r="A4" s="3" t="inlineStr">
        <is>
          <t>Escenario para vista rápida</t>
        </is>
      </c>
      <c r="B4" s="4" t="inlineStr">
        <is>
          <t>Base</t>
        </is>
      </c>
      <c r="C4" s="2" t="inlineStr">
        <is>
          <t>Nota: la tabla inferior calcula los 3 escenarios.</t>
        </is>
      </c>
    </row>
    <row r="6">
      <c r="A6" s="5" t="inlineStr">
        <is>
          <t>Vista rápida (escenario seleccionado)</t>
        </is>
      </c>
    </row>
    <row r="7">
      <c r="A7" s="6" t="inlineStr">
        <is>
          <t>Métrica</t>
        </is>
      </c>
      <c r="B7" s="6" t="inlineStr">
        <is>
          <t>Valor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8" customHeight="1">
      <c r="A8" s="9" t="inlineStr">
        <is>
          <t>Beneficios anuales (total)</t>
        </is>
      </c>
      <c r="B8" s="44">
        <f>INDEX($B$22:$D$22,1, MATCH($B$4, $B$18:$D$18, 0))</f>
        <v/>
      </c>
      <c r="C8" s="33" t="inlineStr"/>
      <c r="D8" s="33" t="inlineStr"/>
      <c r="E8" s="33" t="inlineStr"/>
      <c r="F8" s="33" t="inlineStr"/>
      <c r="G8" s="33" t="inlineStr"/>
      <c r="H8" s="33" t="inlineStr"/>
      <c r="I8" s="33" t="inlineStr"/>
    </row>
    <row r="9" ht="18" customHeight="1">
      <c r="A9" s="9" t="inlineStr">
        <is>
          <t>OPEX anual</t>
        </is>
      </c>
      <c r="B9" s="44">
        <f>INDEX($B$23:$D$23,1, MATCH($B$4, $B$18:$D$18, 0))</f>
        <v/>
      </c>
      <c r="C9" s="33" t="inlineStr"/>
      <c r="D9" s="33" t="inlineStr"/>
      <c r="E9" s="33" t="inlineStr"/>
      <c r="F9" s="33" t="inlineStr"/>
      <c r="G9" s="33" t="inlineStr"/>
      <c r="H9" s="33" t="inlineStr"/>
      <c r="I9" s="33" t="inlineStr"/>
    </row>
    <row r="10" ht="18" customHeight="1">
      <c r="A10" s="9" t="inlineStr">
        <is>
          <t>Beneficio neto anual (beneficios - OPEX)</t>
        </is>
      </c>
      <c r="B10" s="44">
        <f>INDEX($B$24:$D$24,1, MATCH($B$4, $B$18:$D$18, 0))</f>
        <v/>
      </c>
      <c r="C10" s="33" t="inlineStr"/>
      <c r="D10" s="33" t="inlineStr"/>
      <c r="E10" s="33" t="inlineStr"/>
      <c r="F10" s="33" t="inlineStr"/>
      <c r="G10" s="33" t="inlineStr"/>
      <c r="H10" s="33" t="inlineStr"/>
      <c r="I10" s="33" t="inlineStr"/>
    </row>
    <row r="11" ht="18" customHeight="1">
      <c r="A11" s="9" t="inlineStr">
        <is>
          <t>CAPEX total</t>
        </is>
      </c>
      <c r="B11" s="44">
        <f>INDEX($B$25:$D$25,1, MATCH($B$4, $B$18:$D$18, 0))</f>
        <v/>
      </c>
      <c r="C11" s="33" t="inlineStr"/>
      <c r="D11" s="33" t="inlineStr"/>
      <c r="E11" s="33" t="inlineStr"/>
      <c r="F11" s="33" t="inlineStr"/>
      <c r="G11" s="33" t="inlineStr"/>
      <c r="H11" s="33" t="inlineStr"/>
      <c r="I11" s="33" t="inlineStr"/>
    </row>
    <row r="12" ht="18" customHeight="1">
      <c r="A12" s="9" t="inlineStr">
        <is>
          <t>Payback simple</t>
        </is>
      </c>
      <c r="B12" s="11">
        <f>INDEX($B$26:$D$26,1, MATCH($B$4, $B$18:$D$18, 0))</f>
        <v/>
      </c>
      <c r="C12" s="33" t="inlineStr"/>
      <c r="D12" s="33" t="inlineStr"/>
      <c r="E12" s="33" t="inlineStr"/>
      <c r="F12" s="33" t="inlineStr"/>
      <c r="G12" s="33" t="inlineStr"/>
      <c r="H12" s="33" t="inlineStr"/>
      <c r="I12" s="33" t="inlineStr"/>
    </row>
    <row r="13" ht="18" customHeight="1">
      <c r="A13" s="9" t="inlineStr">
        <is>
          <t>ROI anual simple</t>
        </is>
      </c>
      <c r="B13" s="45">
        <f>INDEX($B$27:$D$27,1, MATCH($B$4, $B$18:$D$18, 0))</f>
        <v/>
      </c>
      <c r="C13" s="33" t="inlineStr"/>
      <c r="D13" s="33" t="inlineStr"/>
      <c r="E13" s="33" t="inlineStr"/>
      <c r="F13" s="33" t="inlineStr"/>
      <c r="G13" s="33" t="inlineStr"/>
      <c r="H13" s="33" t="inlineStr"/>
      <c r="I13" s="33" t="inlineStr"/>
    </row>
    <row r="14" ht="18" customHeight="1">
      <c r="A14" s="9" t="inlineStr">
        <is>
          <t>NPV (vida, descuento)</t>
        </is>
      </c>
      <c r="B14" s="44">
        <f>INDEX($B$30:$D$30,1, MATCH($B$4, $B$18:$D$18, 0))</f>
        <v/>
      </c>
      <c r="C14" s="33" t="inlineStr"/>
      <c r="D14" s="33" t="inlineStr"/>
      <c r="E14" s="33" t="inlineStr"/>
      <c r="F14" s="33" t="inlineStr"/>
      <c r="G14" s="33" t="inlineStr"/>
      <c r="H14" s="33" t="inlineStr"/>
      <c r="I14" s="33" t="inlineStr"/>
    </row>
    <row r="17" ht="20" customHeight="1">
      <c r="A17" s="13" t="inlineStr">
        <is>
          <t>Comparativa por escenario</t>
        </is>
      </c>
    </row>
    <row r="18">
      <c r="A18" s="6" t="inlineStr">
        <is>
          <t>Métrica</t>
        </is>
      </c>
      <c r="B18" s="6" t="inlineStr">
        <is>
          <t>Conservador</t>
        </is>
      </c>
      <c r="C18" s="6" t="inlineStr">
        <is>
          <t>Base</t>
        </is>
      </c>
      <c r="D18" s="6" t="inlineStr">
        <is>
          <t>Ambicioso</t>
        </is>
      </c>
      <c r="E18" s="6" t="inlineStr">
        <is>
          <t>Notas</t>
        </is>
      </c>
      <c r="F18" s="7" t="n"/>
      <c r="G18" s="7" t="n"/>
      <c r="H18" s="7" t="n"/>
      <c r="I18" s="8" t="n"/>
    </row>
    <row r="19" ht="18" customHeight="1">
      <c r="A19" s="9" t="inlineStr">
        <is>
          <t>Beneficios energía</t>
        </is>
      </c>
      <c r="B19" s="46">
        <f>Beneficios_Energia!B13</f>
        <v/>
      </c>
      <c r="C19" s="46">
        <f>Beneficios_Energia!C13</f>
        <v/>
      </c>
      <c r="D19" s="46">
        <f>Beneficios_Energia!D13</f>
        <v/>
      </c>
      <c r="E19" s="15" t="inlineStr">
        <is>
          <t>Optimización segura: ahorro energético esperado (aplica adopción).</t>
        </is>
      </c>
      <c r="F19" s="7" t="n"/>
      <c r="G19" s="7" t="n"/>
      <c r="H19" s="7" t="n"/>
      <c r="I19" s="8" t="n"/>
    </row>
    <row r="20" ht="18" customHeight="1">
      <c r="A20" s="9" t="inlineStr">
        <is>
          <t>Beneficios calidad</t>
        </is>
      </c>
      <c r="B20" s="46">
        <f>Beneficios_Calidad!B12</f>
        <v/>
      </c>
      <c r="C20" s="46">
        <f>Beneficios_Calidad!C12</f>
        <v/>
      </c>
      <c r="D20" s="46">
        <f>Beneficios_Calidad!D12</f>
        <v/>
      </c>
      <c r="E20" s="15" t="inlineStr">
        <is>
          <t>Estimación por reducción de scrap/rework (validar con QA).</t>
        </is>
      </c>
      <c r="F20" s="7" t="n"/>
      <c r="G20" s="7" t="n"/>
      <c r="H20" s="7" t="n"/>
      <c r="I20" s="8" t="n"/>
    </row>
    <row r="21" ht="18" customHeight="1">
      <c r="A21" s="9" t="inlineStr">
        <is>
          <t>Beneficios disponibilidad+rto</t>
        </is>
      </c>
      <c r="B21" s="46">
        <f>Beneficios_Disponibilidad!B16</f>
        <v/>
      </c>
      <c r="C21" s="46">
        <f>Beneficios_Disponibilidad!C16</f>
        <v/>
      </c>
      <c r="D21" s="46">
        <f>Beneficios_Disponibilidad!D16</f>
        <v/>
      </c>
      <c r="E21" s="15" t="inlineStr">
        <is>
          <t>Incluye reducción de downtime + mejora throughput (aplica adopción).</t>
        </is>
      </c>
      <c r="F21" s="7" t="n"/>
      <c r="G21" s="7" t="n"/>
      <c r="H21" s="7" t="n"/>
      <c r="I21" s="8" t="n"/>
    </row>
    <row r="22" ht="18" customHeight="1">
      <c r="A22" s="9" t="inlineStr">
        <is>
          <t>Beneficios anuales (total)</t>
        </is>
      </c>
      <c r="B22" s="44">
        <f>B19+B20+B21</f>
        <v/>
      </c>
      <c r="C22" s="44">
        <f>C19+C20+C21</f>
        <v/>
      </c>
      <c r="D22" s="44">
        <f>D19+D20+D21</f>
        <v/>
      </c>
      <c r="E22" s="15" t="inlineStr"/>
      <c r="F22" s="7" t="n"/>
      <c r="G22" s="7" t="n"/>
      <c r="H22" s="7" t="n"/>
      <c r="I22" s="8" t="n"/>
    </row>
    <row r="23" ht="18" customHeight="1">
      <c r="A23" s="9" t="inlineStr">
        <is>
          <t>OPEX anual</t>
        </is>
      </c>
      <c r="B23" s="46">
        <f>Costes!B21</f>
        <v/>
      </c>
      <c r="C23" s="46">
        <f>Costes!C21</f>
        <v/>
      </c>
      <c r="D23" s="46">
        <f>Costes!D21</f>
        <v/>
      </c>
      <c r="E23" s="15" t="inlineStr"/>
      <c r="F23" s="7" t="n"/>
      <c r="G23" s="7" t="n"/>
      <c r="H23" s="7" t="n"/>
      <c r="I23" s="8" t="n"/>
    </row>
    <row r="24" ht="18" customHeight="1">
      <c r="A24" s="9" t="inlineStr">
        <is>
          <t>Beneficio neto anual</t>
        </is>
      </c>
      <c r="B24" s="44">
        <f>B22-B23</f>
        <v/>
      </c>
      <c r="C24" s="44">
        <f>C22-C23</f>
        <v/>
      </c>
      <c r="D24" s="44">
        <f>D22-D23</f>
        <v/>
      </c>
      <c r="E24" s="15" t="inlineStr"/>
      <c r="F24" s="7" t="n"/>
      <c r="G24" s="7" t="n"/>
      <c r="H24" s="7" t="n"/>
      <c r="I24" s="8" t="n"/>
    </row>
    <row r="25" ht="18" customHeight="1">
      <c r="A25" s="9" t="inlineStr">
        <is>
          <t>CAPEX total</t>
        </is>
      </c>
      <c r="B25" s="46">
        <f>Costes!B13</f>
        <v/>
      </c>
      <c r="C25" s="46">
        <f>Costes!C13</f>
        <v/>
      </c>
      <c r="D25" s="46">
        <f>Costes!D13</f>
        <v/>
      </c>
      <c r="E25" s="15" t="inlineStr"/>
      <c r="F25" s="7" t="n"/>
      <c r="G25" s="7" t="n"/>
      <c r="H25" s="7" t="n"/>
      <c r="I25" s="8" t="n"/>
    </row>
    <row r="26" ht="18" customHeight="1">
      <c r="A26" s="9" t="inlineStr">
        <is>
          <t>Payback simple</t>
        </is>
      </c>
      <c r="B26" s="16">
        <f>IF(B24&lt;=0,"—",B25/B24)</f>
        <v/>
      </c>
      <c r="C26" s="16">
        <f>IF(C24&lt;=0,"—",C25/C24)</f>
        <v/>
      </c>
      <c r="D26" s="16">
        <f>IF(D24&lt;=0,"—",D25/D24)</f>
        <v/>
      </c>
      <c r="E26" s="15" t="inlineStr"/>
      <c r="F26" s="7" t="n"/>
      <c r="G26" s="7" t="n"/>
      <c r="H26" s="7" t="n"/>
      <c r="I26" s="8" t="n"/>
    </row>
    <row r="27" ht="18" customHeight="1">
      <c r="A27" s="9" t="inlineStr">
        <is>
          <t>ROI anual simple</t>
        </is>
      </c>
      <c r="B27" s="47">
        <f>IF(B25=0,"—",B24/B25*100)</f>
        <v/>
      </c>
      <c r="C27" s="47">
        <f>IF(C25=0,"—",C24/C25*100)</f>
        <v/>
      </c>
      <c r="D27" s="47">
        <f>IF(D25=0,"—",D24/D25*100)</f>
        <v/>
      </c>
      <c r="E27" s="15" t="inlineStr"/>
      <c r="F27" s="7" t="n"/>
      <c r="G27" s="7" t="n"/>
      <c r="H27" s="7" t="n"/>
      <c r="I27" s="8" t="n"/>
    </row>
    <row r="28" ht="18" customHeight="1">
      <c r="A28" s="9" t="inlineStr">
        <is>
          <t>Vida económica (años)</t>
        </is>
      </c>
      <c r="B28" s="18">
        <f>INDEX(Supuestos!$E$4:$G$31, MATCH("K03", Supuestos!$A$4:$A$31, 0), MATCH(B$18, Supuestos!$E$3:$G$3, 0))</f>
        <v/>
      </c>
      <c r="C28" s="18">
        <f>INDEX(Supuestos!$E$4:$G$31, MATCH("K03", Supuestos!$A$4:$A$31, 0), MATCH(C$18, Supuestos!$E$3:$G$3, 0))</f>
        <v/>
      </c>
      <c r="D28" s="18">
        <f>INDEX(Supuestos!$E$4:$G$31, MATCH("K03", Supuestos!$A$4:$A$31, 0), MATCH(D$18, Supuestos!$E$3:$G$3, 0))</f>
        <v/>
      </c>
      <c r="E28" s="15" t="inlineStr"/>
      <c r="F28" s="7" t="n"/>
      <c r="G28" s="7" t="n"/>
      <c r="H28" s="7" t="n"/>
      <c r="I28" s="8" t="n"/>
    </row>
    <row r="29" ht="18" customHeight="1">
      <c r="A29" s="9" t="inlineStr">
        <is>
          <t>Tasa de descuento</t>
        </is>
      </c>
      <c r="B29" s="48">
        <f>INDEX(Supuestos!$E$4:$G$31, MATCH("K04", Supuestos!$A$4:$A$31, 0), MATCH(B$18, Supuestos!$E$3:$G$3, 0))</f>
        <v/>
      </c>
      <c r="C29" s="48">
        <f>INDEX(Supuestos!$E$4:$G$31, MATCH("K04", Supuestos!$A$4:$A$31, 0), MATCH(C$18, Supuestos!$E$3:$G$3, 0))</f>
        <v/>
      </c>
      <c r="D29" s="48">
        <f>INDEX(Supuestos!$E$4:$G$31, MATCH("K04", Supuestos!$A$4:$A$31, 0), MATCH(D$18, Supuestos!$E$3:$G$3, 0))</f>
        <v/>
      </c>
      <c r="E29" s="15" t="inlineStr"/>
      <c r="F29" s="7" t="n"/>
      <c r="G29" s="7" t="n"/>
      <c r="H29" s="7" t="n"/>
      <c r="I29" s="8" t="n"/>
    </row>
    <row r="30" ht="18" customHeight="1">
      <c r="A30" s="9" t="inlineStr">
        <is>
          <t>NPV</t>
        </is>
      </c>
      <c r="B30" s="44">
        <f>IF(B24&lt;=0,"—",-(B25)+IF(B29=0,B24*B28,B24*(1-(1+B29/100)^(-B28))/(B29/100)))</f>
        <v/>
      </c>
      <c r="C30" s="44">
        <f>IF(C24&lt;=0,"—",-(C25)+IF(C29=0,C24*C28,C24*(1-(1+C29/100)^(-C28))/(C29/100)))</f>
        <v/>
      </c>
      <c r="D30" s="44">
        <f>IF(D24&lt;=0,"—",-(D25)+IF(D29=0,D24*D28,D24*(1-(1+D29/100)^(-D28))/(D29/100)))</f>
        <v/>
      </c>
      <c r="E30" s="15" t="inlineStr">
        <is>
          <t>NPV con beneficio neto anual constante (simplificación).</t>
        </is>
      </c>
      <c r="F30" s="7" t="n"/>
      <c r="G30" s="7" t="n"/>
      <c r="H30" s="7" t="n"/>
      <c r="I30" s="8" t="n"/>
    </row>
  </sheetData>
  <mergeCells count="18">
    <mergeCell ref="E30:I30"/>
    <mergeCell ref="E21:I21"/>
    <mergeCell ref="E29:I29"/>
    <mergeCell ref="A2:I2"/>
    <mergeCell ref="E20:I20"/>
    <mergeCell ref="E24:I24"/>
    <mergeCell ref="E28:I28"/>
    <mergeCell ref="C4:I4"/>
    <mergeCell ref="E25:I25"/>
    <mergeCell ref="A17:I17"/>
    <mergeCell ref="E19:I19"/>
    <mergeCell ref="A1:I1"/>
    <mergeCell ref="E27:I27"/>
    <mergeCell ref="E23:I23"/>
    <mergeCell ref="A6:I6"/>
    <mergeCell ref="E22:I22"/>
    <mergeCell ref="E26:I26"/>
    <mergeCell ref="E18:I18"/>
  </mergeCells>
  <conditionalFormatting sqref="B26:D26">
    <cfRule type="expression" priority="1" dxfId="0">
      <formula>AND(ISNUMBER(B26),B26&gt;3)</formula>
    </cfRule>
  </conditionalFormatting>
  <conditionalFormatting sqref="B30:D30">
    <cfRule type="expression" priority="2" dxfId="1">
      <formula>AND(ISNUMBER(B30),B30&lt;0)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4" customWidth="1" min="3" max="3"/>
    <col width="10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  <col width="18" customWidth="1" min="10" max="10"/>
    <col width="30" customWidth="1" min="11" max="11"/>
  </cols>
  <sheetData>
    <row r="1" ht="28" customHeight="1">
      <c r="A1" s="1" t="inlineStr">
        <is>
          <t>Supuestos (Single Source of Truth) — ACQC Business Case</t>
        </is>
      </c>
    </row>
    <row r="2" ht="20" customHeight="1">
      <c r="A2" s="2" t="inlineStr">
        <is>
          <t>Regla: todo número usado en el modelo debe derivarse de esta hoja y tener fuente o supuesto explicitado.</t>
        </is>
      </c>
    </row>
    <row r="3" ht="22" customHeight="1">
      <c r="A3" s="6" t="inlineStr">
        <is>
          <t>ID</t>
        </is>
      </c>
      <c r="B3" s="6" t="inlineStr">
        <is>
          <t>Categoría</t>
        </is>
      </c>
      <c r="C3" s="6" t="inlineStr">
        <is>
          <t>Parámetro</t>
        </is>
      </c>
      <c r="D3" s="6" t="inlineStr">
        <is>
          <t>Unidad</t>
        </is>
      </c>
      <c r="E3" s="6" t="inlineStr">
        <is>
          <t>Conservador</t>
        </is>
      </c>
      <c r="F3" s="6" t="inlineStr">
        <is>
          <t>Base</t>
        </is>
      </c>
      <c r="G3" s="6" t="inlineStr">
        <is>
          <t>Ambicioso</t>
        </is>
      </c>
      <c r="H3" s="6" t="inlineStr">
        <is>
          <t>Tipo</t>
        </is>
      </c>
      <c r="I3" s="6" t="inlineStr">
        <is>
          <t>Fuente/Justificación</t>
        </is>
      </c>
      <c r="J3" s="6" t="inlineStr">
        <is>
          <t>Responsable</t>
        </is>
      </c>
      <c r="K3" s="6" t="inlineStr">
        <is>
          <t>URL/Referencia</t>
        </is>
      </c>
    </row>
    <row r="4" ht="18" customHeight="1">
      <c r="A4" s="20" t="inlineStr">
        <is>
          <t>K00</t>
        </is>
      </c>
      <c r="B4" s="9" t="inlineStr">
        <is>
          <t>Constantes</t>
        </is>
      </c>
      <c r="C4" s="9" t="inlineStr">
        <is>
          <t>Horas por año</t>
        </is>
      </c>
      <c r="D4" s="21" t="inlineStr">
        <is>
          <t>h/año</t>
        </is>
      </c>
      <c r="E4" s="22" t="n">
        <v>8760</v>
      </c>
      <c r="F4" s="22" t="n">
        <v>8760</v>
      </c>
      <c r="G4" s="22" t="n">
        <v>8760</v>
      </c>
      <c r="H4" s="23" t="inlineStr">
        <is>
          <t>SUPUESTO</t>
        </is>
      </c>
      <c r="I4" s="9" t="inlineStr">
        <is>
          <t>Constante de calendario (sin año específico).</t>
        </is>
      </c>
      <c r="J4" s="9" t="inlineStr">
        <is>
          <t>TFM</t>
        </is>
      </c>
      <c r="K4" s="24" t="inlineStr">
        <is>
          <t>https://github.com/tangodelta217/ACQC</t>
        </is>
      </c>
    </row>
    <row r="5" ht="18" customHeight="1">
      <c r="A5" s="20" t="inlineStr">
        <is>
          <t>K01</t>
        </is>
      </c>
      <c r="B5" s="9" t="inlineStr">
        <is>
          <t>Constantes</t>
        </is>
      </c>
      <c r="C5" s="9" t="inlineStr">
        <is>
          <t>Factor sensibilidad (bajo)</t>
        </is>
      </c>
      <c r="D5" s="21" t="inlineStr">
        <is>
          <t>x</t>
        </is>
      </c>
      <c r="E5" s="49" t="n">
        <v>0.8</v>
      </c>
      <c r="F5" s="49" t="n">
        <v>0.8</v>
      </c>
      <c r="G5" s="49" t="n">
        <v>0.8</v>
      </c>
      <c r="H5" s="23" t="inlineStr">
        <is>
          <t>SUPUESTO</t>
        </is>
      </c>
      <c r="I5" s="9" t="inlineStr">
        <is>
          <t>Definición interna: ±20% (bajo).</t>
        </is>
      </c>
      <c r="J5" s="9" t="inlineStr">
        <is>
          <t>TFM</t>
        </is>
      </c>
      <c r="K5" s="24" t="inlineStr">
        <is>
          <t>https://github.com/tangodelta217/ACQC</t>
        </is>
      </c>
    </row>
    <row r="6" ht="18" customHeight="1">
      <c r="A6" s="20" t="inlineStr">
        <is>
          <t>K02</t>
        </is>
      </c>
      <c r="B6" s="9" t="inlineStr">
        <is>
          <t>Constantes</t>
        </is>
      </c>
      <c r="C6" s="9" t="inlineStr">
        <is>
          <t>Factor sensibilidad (alto)</t>
        </is>
      </c>
      <c r="D6" s="21" t="inlineStr">
        <is>
          <t>x</t>
        </is>
      </c>
      <c r="E6" s="49" t="n">
        <v>1.2</v>
      </c>
      <c r="F6" s="49" t="n">
        <v>1.2</v>
      </c>
      <c r="G6" s="49" t="n">
        <v>1.2</v>
      </c>
      <c r="H6" s="23" t="inlineStr">
        <is>
          <t>SUPUESTO</t>
        </is>
      </c>
      <c r="I6" s="9" t="inlineStr">
        <is>
          <t>Definición interna: ±20% (alto).</t>
        </is>
      </c>
      <c r="J6" s="9" t="inlineStr">
        <is>
          <t>TFM</t>
        </is>
      </c>
      <c r="K6" s="24" t="inlineStr">
        <is>
          <t>https://github.com/tangodelta217/ACQC</t>
        </is>
      </c>
    </row>
    <row r="7" ht="18" customHeight="1">
      <c r="A7" s="20" t="inlineStr">
        <is>
          <t>K03</t>
        </is>
      </c>
      <c r="B7" s="9" t="inlineStr">
        <is>
          <t>Finanzas</t>
        </is>
      </c>
      <c r="C7" s="9" t="inlineStr">
        <is>
          <t>Vida económica del caso</t>
        </is>
      </c>
      <c r="D7" s="21" t="inlineStr">
        <is>
          <t>años</t>
        </is>
      </c>
      <c r="E7" s="22" t="n">
        <v>3</v>
      </c>
      <c r="F7" s="22" t="n">
        <v>5</v>
      </c>
      <c r="G7" s="22" t="n">
        <v>7</v>
      </c>
      <c r="H7" s="23" t="inlineStr">
        <is>
          <t>SUPUESTO</t>
        </is>
      </c>
      <c r="I7" s="9" t="inlineStr">
        <is>
          <t>Supuesto estándar para pilotos industriales; ajustar a política financiera.</t>
        </is>
      </c>
      <c r="J7" s="9" t="inlineStr">
        <is>
          <t>Finanzas</t>
        </is>
      </c>
      <c r="K7" s="24" t="inlineStr">
        <is>
          <t>https://github.com/tangodelta217/ACQC</t>
        </is>
      </c>
    </row>
    <row r="8" ht="18" customHeight="1">
      <c r="A8" s="20" t="inlineStr">
        <is>
          <t>K04</t>
        </is>
      </c>
      <c r="B8" s="9" t="inlineStr">
        <is>
          <t>Finanzas</t>
        </is>
      </c>
      <c r="C8" s="9" t="inlineStr">
        <is>
          <t>Tasa de descuento (WACC/CoC)</t>
        </is>
      </c>
      <c r="D8" s="21" t="inlineStr">
        <is>
          <t>%</t>
        </is>
      </c>
      <c r="E8" s="49" t="n">
        <v>10</v>
      </c>
      <c r="F8" s="49" t="n">
        <v>8</v>
      </c>
      <c r="G8" s="49" t="n">
        <v>6</v>
      </c>
      <c r="H8" s="23" t="inlineStr">
        <is>
          <t>SUPUESTO</t>
        </is>
      </c>
      <c r="I8" s="9" t="inlineStr">
        <is>
          <t>Supuesto inicial; reemplazar por tasa corporativa.</t>
        </is>
      </c>
      <c r="J8" s="9" t="inlineStr">
        <is>
          <t>Finanzas</t>
        </is>
      </c>
      <c r="K8" s="24" t="inlineStr">
        <is>
          <t>https://github.com/tangodelta217/ACQC</t>
        </is>
      </c>
    </row>
    <row r="9" ht="18" customHeight="1">
      <c r="A9" s="20" t="inlineStr">
        <is>
          <t>A01</t>
        </is>
      </c>
      <c r="B9" s="9" t="inlineStr">
        <is>
          <t>Operación</t>
        </is>
      </c>
      <c r="C9" s="9" t="inlineStr">
        <is>
          <t>Adopción efectiva de recomendaciones (human-in-the-loop)</t>
        </is>
      </c>
      <c r="D9" s="21" t="inlineStr">
        <is>
          <t>%</t>
        </is>
      </c>
      <c r="E9" s="49" t="n">
        <v>40</v>
      </c>
      <c r="F9" s="49" t="n">
        <v>60</v>
      </c>
      <c r="G9" s="49" t="n">
        <v>80</v>
      </c>
      <c r="H9" s="23" t="inlineStr">
        <is>
          <t>SUPUESTO</t>
        </is>
      </c>
      <c r="I9" s="9" t="inlineStr">
        <is>
          <t>Modo asesor con operador en el bucle; adopción parcial es realista.</t>
        </is>
      </c>
      <c r="J9" s="9" t="inlineStr">
        <is>
          <t>Operación</t>
        </is>
      </c>
      <c r="K9" s="24" t="inlineStr">
        <is>
          <t>https://github.com/tangodelta217/ACQC</t>
        </is>
      </c>
    </row>
    <row r="10" ht="18" customHeight="1">
      <c r="A10" s="20" t="inlineStr">
        <is>
          <t>A02</t>
        </is>
      </c>
      <c r="B10" s="9" t="inlineStr">
        <is>
          <t>Operación</t>
        </is>
      </c>
      <c r="C10" s="9" t="inlineStr">
        <is>
          <t>Horas de downtime anual atribuible a incidencias de medición/calidad</t>
        </is>
      </c>
      <c r="D10" s="21" t="inlineStr">
        <is>
          <t>h/año</t>
        </is>
      </c>
      <c r="E10" s="22" t="n">
        <v>60</v>
      </c>
      <c r="F10" s="22" t="n">
        <v>40</v>
      </c>
      <c r="G10" s="22" t="n">
        <v>20</v>
      </c>
      <c r="H10" s="23" t="inlineStr">
        <is>
          <t>SUPUESTO</t>
        </is>
      </c>
      <c r="I10" s="9" t="inlineStr">
        <is>
          <t>Depende de histórico local; establecer con OT/Operación.</t>
        </is>
      </c>
      <c r="J10" s="9" t="inlineStr">
        <is>
          <t>OT/Operación</t>
        </is>
      </c>
      <c r="K10" s="24" t="inlineStr">
        <is>
          <t>https://github.com/tangodelta217/ACQC</t>
        </is>
      </c>
    </row>
    <row r="11" ht="18" customHeight="1">
      <c r="A11" s="20" t="inlineStr">
        <is>
          <t>A03</t>
        </is>
      </c>
      <c r="B11" s="9" t="inlineStr">
        <is>
          <t>Operación</t>
        </is>
      </c>
      <c r="C11" s="9" t="inlineStr">
        <is>
          <t>Reducción de downtime por fallback + detección (ACQC)</t>
        </is>
      </c>
      <c r="D11" s="21" t="inlineStr">
        <is>
          <t>%</t>
        </is>
      </c>
      <c r="E11" s="49" t="n">
        <v>10</v>
      </c>
      <c r="F11" s="49" t="n">
        <v>25</v>
      </c>
      <c r="G11" s="49" t="n">
        <v>40</v>
      </c>
      <c r="H11" s="23" t="inlineStr">
        <is>
          <t>SUPUESTO</t>
        </is>
      </c>
      <c r="I11" s="9" t="inlineStr">
        <is>
          <t>Se incluyen flujos degradados (fallback) y observabilidad; cuantificar con incidentes reales.</t>
        </is>
      </c>
      <c r="J11" s="9" t="inlineStr">
        <is>
          <t>OT/Operación</t>
        </is>
      </c>
      <c r="K11" s="24" t="inlineStr">
        <is>
          <t>https://github.com/tangodelta217/ACQC</t>
        </is>
      </c>
    </row>
    <row r="12" ht="18" customHeight="1">
      <c r="A12" s="20" t="inlineStr">
        <is>
          <t>P01</t>
        </is>
      </c>
      <c r="B12" s="9" t="inlineStr">
        <is>
          <t>Producción</t>
        </is>
      </c>
      <c r="C12" s="9" t="inlineStr">
        <is>
          <t>Producción anual impactada (corriente/unidad objetivo)</t>
        </is>
      </c>
      <c r="D12" s="21" t="inlineStr">
        <is>
          <t>t/año</t>
        </is>
      </c>
      <c r="E12" s="22" t="n">
        <v>80000</v>
      </c>
      <c r="F12" s="22" t="n">
        <v>150000</v>
      </c>
      <c r="G12" s="22" t="n">
        <v>250000</v>
      </c>
      <c r="H12" s="23" t="inlineStr">
        <is>
          <t>SUPUESTO</t>
        </is>
      </c>
      <c r="I12" s="9" t="inlineStr">
        <is>
          <t>Requiere definir unidad y corriente en Puertollano; placeholder editable.</t>
        </is>
      </c>
      <c r="J12" s="9" t="inlineStr">
        <is>
          <t>Producción</t>
        </is>
      </c>
      <c r="K12" s="24" t="inlineStr">
        <is>
          <t>https://github.com/tangodelta217/ACQC</t>
        </is>
      </c>
    </row>
    <row r="13" ht="18" customHeight="1">
      <c r="A13" s="20" t="inlineStr">
        <is>
          <t>P02</t>
        </is>
      </c>
      <c r="B13" s="9" t="inlineStr">
        <is>
          <t>Producción</t>
        </is>
      </c>
      <c r="C13" s="9" t="inlineStr">
        <is>
          <t>Margen de contribución por tonelada (producto afectado)</t>
        </is>
      </c>
      <c r="D13" s="21" t="inlineStr">
        <is>
          <t>€/t</t>
        </is>
      </c>
      <c r="E13" s="50" t="n">
        <v>30</v>
      </c>
      <c r="F13" s="50" t="n">
        <v>50</v>
      </c>
      <c r="G13" s="50" t="n">
        <v>80</v>
      </c>
      <c r="H13" s="23" t="inlineStr">
        <is>
          <t>SUPUESTO</t>
        </is>
      </c>
      <c r="I13" s="9" t="inlineStr">
        <is>
          <t>Depende de slate y mercado; usar contabilidad de gestión.</t>
        </is>
      </c>
      <c r="J13" s="9" t="inlineStr">
        <is>
          <t>Finanzas</t>
        </is>
      </c>
      <c r="K13" s="24" t="inlineStr">
        <is>
          <t>https://github.com/tangodelta217/ACQC</t>
        </is>
      </c>
    </row>
    <row r="14" ht="18" customHeight="1">
      <c r="A14" s="20" t="inlineStr">
        <is>
          <t>P03</t>
        </is>
      </c>
      <c r="B14" s="9" t="inlineStr">
        <is>
          <t>Producción</t>
        </is>
      </c>
      <c r="C14" s="9" t="inlineStr">
        <is>
          <t>Mejora de throughput/rendimiento por optimización (esperada)</t>
        </is>
      </c>
      <c r="D14" s="21" t="inlineStr">
        <is>
          <t>%</t>
        </is>
      </c>
      <c r="E14" s="49" t="n">
        <v>1</v>
      </c>
      <c r="F14" s="49" t="n">
        <v>3</v>
      </c>
      <c r="G14" s="49" t="n">
        <v>5</v>
      </c>
      <c r="H14" s="27" t="inlineStr">
        <is>
          <t>FUENTE</t>
        </is>
      </c>
      <c r="I14" s="9" t="inlineStr">
        <is>
          <t>Doc ACQC_Optimizacion.pdf (2026): mejora esperada de throughput/rendimiento ~3% (resultados esperados; validar).</t>
        </is>
      </c>
      <c r="J14" s="9" t="inlineStr">
        <is>
          <t>Proceso</t>
        </is>
      </c>
      <c r="K14" s="24" t="inlineStr">
        <is>
          <t>https://github.com/tangodelta217/ACQC</t>
        </is>
      </c>
    </row>
    <row r="15" ht="18" customHeight="1">
      <c r="A15" s="20" t="inlineStr">
        <is>
          <t>E01</t>
        </is>
      </c>
      <c r="B15" s="9" t="inlineStr">
        <is>
          <t>Energía</t>
        </is>
      </c>
      <c r="C15" s="9" t="inlineStr">
        <is>
          <t>Consumo energético específico base</t>
        </is>
      </c>
      <c r="D15" s="21" t="inlineStr">
        <is>
          <t>GJ/t</t>
        </is>
      </c>
      <c r="E15" s="28" t="n">
        <v>1.5</v>
      </c>
      <c r="F15" s="28" t="n">
        <v>2</v>
      </c>
      <c r="G15" s="28" t="n">
        <v>2.5</v>
      </c>
      <c r="H15" s="23" t="inlineStr">
        <is>
          <t>SUPUESTO</t>
        </is>
      </c>
      <c r="I15" s="9" t="inlineStr">
        <is>
          <t>Depende de la unidad (hidrotratamiento/blending/etc.); estimación inicial editable.</t>
        </is>
      </c>
      <c r="J15" s="9" t="inlineStr">
        <is>
          <t>Energía/Proceso</t>
        </is>
      </c>
      <c r="K15" s="24" t="inlineStr">
        <is>
          <t>https://github.com/tangodelta217/ACQC</t>
        </is>
      </c>
    </row>
    <row r="16" ht="18" customHeight="1">
      <c r="A16" s="20" t="inlineStr">
        <is>
          <t>E02</t>
        </is>
      </c>
      <c r="B16" s="9" t="inlineStr">
        <is>
          <t>Energía</t>
        </is>
      </c>
      <c r="C16" s="9" t="inlineStr">
        <is>
          <t>Precio energético promedio</t>
        </is>
      </c>
      <c r="D16" s="21" t="inlineStr">
        <is>
          <t>€/GJ</t>
        </is>
      </c>
      <c r="E16" s="50" t="n">
        <v>6</v>
      </c>
      <c r="F16" s="50" t="n">
        <v>8</v>
      </c>
      <c r="G16" s="50" t="n">
        <v>10</v>
      </c>
      <c r="H16" s="23" t="inlineStr">
        <is>
          <t>SUPUESTO</t>
        </is>
      </c>
      <c r="I16" s="9" t="inlineStr">
        <is>
          <t>Depende de mix energético interno (fuel/vapor/electricidad); fijar con Finanzas/Energía.</t>
        </is>
      </c>
      <c r="J16" s="9" t="inlineStr">
        <is>
          <t>Energía/Finanzas</t>
        </is>
      </c>
      <c r="K16" s="24" t="inlineStr">
        <is>
          <t>https://github.com/tangodelta217/ACQC</t>
        </is>
      </c>
    </row>
    <row r="17" ht="18" customHeight="1">
      <c r="A17" s="20" t="inlineStr">
        <is>
          <t>E03</t>
        </is>
      </c>
      <c r="B17" s="9" t="inlineStr">
        <is>
          <t>Energía</t>
        </is>
      </c>
      <c r="C17" s="9" t="inlineStr">
        <is>
          <t>Ahorro energético por optimización (esperado)</t>
        </is>
      </c>
      <c r="D17" s="21" t="inlineStr">
        <is>
          <t>%</t>
        </is>
      </c>
      <c r="E17" s="49" t="n">
        <v>2</v>
      </c>
      <c r="F17" s="49" t="n">
        <v>5</v>
      </c>
      <c r="G17" s="49" t="n">
        <v>7</v>
      </c>
      <c r="H17" s="27" t="inlineStr">
        <is>
          <t>FUENTE</t>
        </is>
      </c>
      <c r="I17" s="9" t="inlineStr">
        <is>
          <t>Doc ACQC_Optimizacion.pdf (2026): ahorro energético esperado ~5% (resultados esperados; validar).</t>
        </is>
      </c>
      <c r="J17" s="9" t="inlineStr">
        <is>
          <t>Proceso</t>
        </is>
      </c>
      <c r="K17" s="24" t="inlineStr">
        <is>
          <t>https://github.com/tangodelta217/ACQC</t>
        </is>
      </c>
    </row>
    <row r="18" ht="18" customHeight="1">
      <c r="A18" s="20" t="inlineStr">
        <is>
          <t>Q01</t>
        </is>
      </c>
      <c r="B18" s="9" t="inlineStr">
        <is>
          <t>Calidad</t>
        </is>
      </c>
      <c r="C18" s="9" t="inlineStr">
        <is>
          <t>Tasa de scrap/rework por calidad (base)</t>
        </is>
      </c>
      <c r="D18" s="21" t="inlineStr">
        <is>
          <t>%</t>
        </is>
      </c>
      <c r="E18" s="49" t="n">
        <v>0.6</v>
      </c>
      <c r="F18" s="49" t="n">
        <v>1</v>
      </c>
      <c r="G18" s="49" t="n">
        <v>1.5</v>
      </c>
      <c r="H18" s="23" t="inlineStr">
        <is>
          <t>SUPUESTO</t>
        </is>
      </c>
      <c r="I18" s="9" t="inlineStr">
        <is>
          <t>Depende de histórico de lotes fuera de especificación; definir con QA.</t>
        </is>
      </c>
      <c r="J18" s="9" t="inlineStr">
        <is>
          <t>Calidad</t>
        </is>
      </c>
      <c r="K18" s="24" t="inlineStr">
        <is>
          <t>https://github.com/tangodelta217/ACQC</t>
        </is>
      </c>
    </row>
    <row r="19" ht="18" customHeight="1">
      <c r="A19" s="20" t="inlineStr">
        <is>
          <t>Q02</t>
        </is>
      </c>
      <c r="B19" s="9" t="inlineStr">
        <is>
          <t>Calidad</t>
        </is>
      </c>
      <c r="C19" s="9" t="inlineStr">
        <is>
          <t>Coste incremental de scrap/rework</t>
        </is>
      </c>
      <c r="D19" s="21" t="inlineStr">
        <is>
          <t>€/t</t>
        </is>
      </c>
      <c r="E19" s="50" t="n">
        <v>100</v>
      </c>
      <c r="F19" s="50" t="n">
        <v>150</v>
      </c>
      <c r="G19" s="50" t="n">
        <v>250</v>
      </c>
      <c r="H19" s="23" t="inlineStr">
        <is>
          <t>SUPUESTO</t>
        </is>
      </c>
      <c r="I19" s="9" t="inlineStr">
        <is>
          <t>Incluye reproceso, pérdida de margen y logística; cuantificar con contabilidad.</t>
        </is>
      </c>
      <c r="J19" s="9" t="inlineStr">
        <is>
          <t>Finanzas/Calidad</t>
        </is>
      </c>
      <c r="K19" s="24" t="inlineStr">
        <is>
          <t>https://github.com/tangodelta217/ACQC</t>
        </is>
      </c>
    </row>
    <row r="20" ht="18" customHeight="1">
      <c r="A20" s="20" t="inlineStr">
        <is>
          <t>Q03</t>
        </is>
      </c>
      <c r="B20" s="9" t="inlineStr">
        <is>
          <t>Calidad</t>
        </is>
      </c>
      <c r="C20" s="9" t="inlineStr">
        <is>
          <t>Reducción de scrap/rework por observabilidad inline</t>
        </is>
      </c>
      <c r="D20" s="21" t="inlineStr">
        <is>
          <t>%</t>
        </is>
      </c>
      <c r="E20" s="49" t="n">
        <v>15</v>
      </c>
      <c r="F20" s="49" t="n">
        <v>30</v>
      </c>
      <c r="G20" s="49" t="n">
        <v>50</v>
      </c>
      <c r="H20" s="23" t="inlineStr">
        <is>
          <t>SUPUESTO</t>
        </is>
      </c>
      <c r="I20" s="9" t="inlineStr">
        <is>
          <t>Mejoras por detección temprana (soft sensors + PAT) antes del laboratorio; validar en piloto.</t>
        </is>
      </c>
      <c r="J20" s="9" t="inlineStr">
        <is>
          <t>Calidad/Proceso</t>
        </is>
      </c>
      <c r="K20" s="24" t="inlineStr">
        <is>
          <t>https://github.com/tangodelta217/ACQC</t>
        </is>
      </c>
    </row>
    <row r="21" ht="18" customHeight="1">
      <c r="A21" s="20" t="inlineStr">
        <is>
          <t>T01</t>
        </is>
      </c>
      <c r="B21" s="9" t="inlineStr">
        <is>
          <t>Tecnología</t>
        </is>
      </c>
      <c r="C21" s="9" t="inlineStr">
        <is>
          <t>Disponibilidad objetivo del servicio (meta)</t>
        </is>
      </c>
      <c r="D21" s="21" t="inlineStr">
        <is>
          <t>%</t>
        </is>
      </c>
      <c r="E21" s="49" t="n">
        <v>98</v>
      </c>
      <c r="F21" s="49" t="n">
        <v>99</v>
      </c>
      <c r="G21" s="49" t="n">
        <v>99.5</v>
      </c>
      <c r="H21" s="27" t="inlineStr">
        <is>
          <t>FUENTE</t>
        </is>
      </c>
      <c r="I21" s="9" t="inlineStr">
        <is>
          <t>Doc ACQC_OnePager.pdf (2026): disponibilidad objetivo del servicio (KPI de operación).</t>
        </is>
      </c>
      <c r="J21" s="9" t="inlineStr">
        <is>
          <t>OT</t>
        </is>
      </c>
      <c r="K21" s="24" t="inlineStr">
        <is>
          <t>https://github.com/tangodelta217/ACQC</t>
        </is>
      </c>
    </row>
    <row r="22" ht="18" customHeight="1">
      <c r="A22" s="20" t="inlineStr">
        <is>
          <t>C01</t>
        </is>
      </c>
      <c r="B22" s="9" t="inlineStr">
        <is>
          <t>Costes (CAPEX)</t>
        </is>
      </c>
      <c r="C22" s="9" t="inlineStr">
        <is>
          <t>Analizador PAT NIR/Raman + instalación</t>
        </is>
      </c>
      <c r="D22" s="21" t="inlineStr">
        <is>
          <t>€</t>
        </is>
      </c>
      <c r="E22" s="50" t="n">
        <v>120000</v>
      </c>
      <c r="F22" s="50" t="n">
        <v>180000</v>
      </c>
      <c r="G22" s="50" t="n">
        <v>250000</v>
      </c>
      <c r="H22" s="23" t="inlineStr">
        <is>
          <t>SUPUESTO</t>
        </is>
      </c>
      <c r="I22" s="9" t="inlineStr">
        <is>
          <t>Depende de fabricante, instalación e ingeniería; cotizar con proveedores.</t>
        </is>
      </c>
      <c r="J22" s="9" t="inlineStr">
        <is>
          <t>Compras/Instrumentación</t>
        </is>
      </c>
      <c r="K22" s="24" t="inlineStr">
        <is>
          <t>https://github.com/tangodelta217/ACQC</t>
        </is>
      </c>
    </row>
    <row r="23" ht="18" customHeight="1">
      <c r="A23" s="20" t="inlineStr">
        <is>
          <t>C02</t>
        </is>
      </c>
      <c r="B23" s="9" t="inlineStr">
        <is>
          <t>Costes (CAPEX)</t>
        </is>
      </c>
      <c r="C23" s="9" t="inlineStr">
        <is>
          <t>Edge industrial (gateway/IPC/Jetson) + armario</t>
        </is>
      </c>
      <c r="D23" s="21" t="inlineStr">
        <is>
          <t>€</t>
        </is>
      </c>
      <c r="E23" s="50" t="n">
        <v>6000</v>
      </c>
      <c r="F23" s="50" t="n">
        <v>12000</v>
      </c>
      <c r="G23" s="50" t="n">
        <v>25000</v>
      </c>
      <c r="H23" s="23" t="inlineStr">
        <is>
          <t>SUPUESTO</t>
        </is>
      </c>
      <c r="I23" s="9" t="inlineStr">
        <is>
          <t>Equipo industrial en DMZ con redundancia opcional; estimación inicial.</t>
        </is>
      </c>
      <c r="J23" s="9" t="inlineStr">
        <is>
          <t>OT</t>
        </is>
      </c>
      <c r="K23" s="24" t="inlineStr">
        <is>
          <t>https://github.com/tangodelta217/ACQC</t>
        </is>
      </c>
    </row>
    <row r="24" ht="18" customHeight="1">
      <c r="A24" s="20" t="inlineStr">
        <is>
          <t>C03</t>
        </is>
      </c>
      <c r="B24" s="9" t="inlineStr">
        <is>
          <t>Costes (CAPEX)</t>
        </is>
      </c>
      <c r="C24" s="9" t="inlineStr">
        <is>
          <t>Integración OT/IT (OPC UA, dashboard, historian/LIMS)</t>
        </is>
      </c>
      <c r="D24" s="21" t="inlineStr">
        <is>
          <t>€</t>
        </is>
      </c>
      <c r="E24" s="50" t="n">
        <v>60000</v>
      </c>
      <c r="F24" s="50" t="n">
        <v>120000</v>
      </c>
      <c r="G24" s="50" t="n">
        <v>200000</v>
      </c>
      <c r="H24" s="23" t="inlineStr">
        <is>
          <t>SUPUESTO</t>
        </is>
      </c>
      <c r="I24" s="9" t="inlineStr">
        <is>
          <t>Horas de ingeniería + pruebas; depende de accesos y complejidad OT.</t>
        </is>
      </c>
      <c r="J24" s="9" t="inlineStr">
        <is>
          <t>OT/IT</t>
        </is>
      </c>
      <c r="K24" s="24" t="inlineStr">
        <is>
          <t>https://github.com/tangodelta217/ACQC</t>
        </is>
      </c>
    </row>
    <row r="25" ht="18" customHeight="1">
      <c r="A25" s="20" t="inlineStr">
        <is>
          <t>C04</t>
        </is>
      </c>
      <c r="B25" s="9" t="inlineStr">
        <is>
          <t>Costes (CAPEX)</t>
        </is>
      </c>
      <c r="C25" s="9" t="inlineStr">
        <is>
          <t>Ciberseguridad y hardening (certificados, firma, auditoría)</t>
        </is>
      </c>
      <c r="D25" s="21" t="inlineStr">
        <is>
          <t>€</t>
        </is>
      </c>
      <c r="E25" s="50" t="n">
        <v>20000</v>
      </c>
      <c r="F25" s="50" t="n">
        <v>45000</v>
      </c>
      <c r="G25" s="50" t="n">
        <v>80000</v>
      </c>
      <c r="H25" s="23" t="inlineStr">
        <is>
          <t>SUPUESTO</t>
        </is>
      </c>
      <c r="I25" s="9" t="inlineStr">
        <is>
          <t>Incluye hardening, logging central, PKI local; depende de políticas corporativas.</t>
        </is>
      </c>
      <c r="J25" s="9" t="inlineStr">
        <is>
          <t>Ciberseguridad</t>
        </is>
      </c>
      <c r="K25" s="24" t="inlineStr">
        <is>
          <t>https://github.com/tangodelta217/ACQC</t>
        </is>
      </c>
    </row>
    <row r="26" ht="18" customHeight="1">
      <c r="A26" s="20" t="inlineStr">
        <is>
          <t>C05</t>
        </is>
      </c>
      <c r="B26" s="9" t="inlineStr">
        <is>
          <t>Costes (CAPEX)</t>
        </is>
      </c>
      <c r="C26" s="9" t="inlineStr">
        <is>
          <t>Gestión de cambio, formación y documentación</t>
        </is>
      </c>
      <c r="D26" s="21" t="inlineStr">
        <is>
          <t>€</t>
        </is>
      </c>
      <c r="E26" s="50" t="n">
        <v>10000</v>
      </c>
      <c r="F26" s="50" t="n">
        <v>25000</v>
      </c>
      <c r="G26" s="50" t="n">
        <v>50000</v>
      </c>
      <c r="H26" s="23" t="inlineStr">
        <is>
          <t>SUPUESTO</t>
        </is>
      </c>
      <c r="I26" s="9" t="inlineStr">
        <is>
          <t>Formación operadores/QA + documentación + MOC (si aplica).</t>
        </is>
      </c>
      <c r="J26" s="9" t="inlineStr">
        <is>
          <t>Operación/QA</t>
        </is>
      </c>
      <c r="K26" s="24" t="inlineStr">
        <is>
          <t>https://github.com/tangodelta217/ACQC</t>
        </is>
      </c>
    </row>
    <row r="27" ht="18" customHeight="1">
      <c r="A27" s="20" t="inlineStr">
        <is>
          <t>C06</t>
        </is>
      </c>
      <c r="B27" s="9" t="inlineStr">
        <is>
          <t>Costes (CAPEX)</t>
        </is>
      </c>
      <c r="C27" s="9" t="inlineStr">
        <is>
          <t>Contingencia CAPEX</t>
        </is>
      </c>
      <c r="D27" s="21" t="inlineStr">
        <is>
          <t>%</t>
        </is>
      </c>
      <c r="E27" s="49" t="n">
        <v>10</v>
      </c>
      <c r="F27" s="49" t="n">
        <v>15</v>
      </c>
      <c r="G27" s="49" t="n">
        <v>20</v>
      </c>
      <c r="H27" s="23" t="inlineStr">
        <is>
          <t>SUPUESTO</t>
        </is>
      </c>
      <c r="I27" s="9" t="inlineStr">
        <is>
          <t>Buenas prácticas de estimación para pilotos.</t>
        </is>
      </c>
      <c r="J27" s="9" t="inlineStr">
        <is>
          <t>Finanzas</t>
        </is>
      </c>
      <c r="K27" s="24" t="inlineStr">
        <is>
          <t>https://github.com/tangodelta217/ACQC</t>
        </is>
      </c>
    </row>
    <row r="28" ht="18" customHeight="1">
      <c r="A28" s="20" t="inlineStr">
        <is>
          <t>O01</t>
        </is>
      </c>
      <c r="B28" s="9" t="inlineStr">
        <is>
          <t>Costes (OPEX)</t>
        </is>
      </c>
      <c r="C28" s="9" t="inlineStr">
        <is>
          <t>Mantenimiento anual PAT (calibración, consumibles)</t>
        </is>
      </c>
      <c r="D28" s="21" t="inlineStr">
        <is>
          <t>€/año</t>
        </is>
      </c>
      <c r="E28" s="50" t="n">
        <v>8000</v>
      </c>
      <c r="F28" s="50" t="n">
        <v>15000</v>
      </c>
      <c r="G28" s="50" t="n">
        <v>25000</v>
      </c>
      <c r="H28" s="23" t="inlineStr">
        <is>
          <t>SUPUESTO</t>
        </is>
      </c>
      <c r="I28" s="9" t="inlineStr">
        <is>
          <t>Contrato de mantenimiento y recalibración periódica; dependerá del sensor.</t>
        </is>
      </c>
      <c r="J28" s="9" t="inlineStr">
        <is>
          <t>Instrumentación</t>
        </is>
      </c>
      <c r="K28" s="24" t="inlineStr">
        <is>
          <t>https://github.com/tangodelta217/ACQC</t>
        </is>
      </c>
    </row>
    <row r="29" ht="18" customHeight="1">
      <c r="A29" s="20" t="inlineStr">
        <is>
          <t>O02</t>
        </is>
      </c>
      <c r="B29" s="9" t="inlineStr">
        <is>
          <t>Costes (OPEX)</t>
        </is>
      </c>
      <c r="C29" s="9" t="inlineStr">
        <is>
          <t>Soporte MLOps/analítica (reentrenos, QA modelos)</t>
        </is>
      </c>
      <c r="D29" s="21" t="inlineStr">
        <is>
          <t>€/año</t>
        </is>
      </c>
      <c r="E29" s="50" t="n">
        <v>15000</v>
      </c>
      <c r="F29" s="50" t="n">
        <v>35000</v>
      </c>
      <c r="G29" s="50" t="n">
        <v>60000</v>
      </c>
      <c r="H29" s="23" t="inlineStr">
        <is>
          <t>SUPUESTO</t>
        </is>
      </c>
      <c r="I29" s="9" t="inlineStr">
        <is>
          <t>Dedicación parcial (data/OT) para mantener modelos y validación.</t>
        </is>
      </c>
      <c r="J29" s="9" t="inlineStr">
        <is>
          <t>Digital/OT</t>
        </is>
      </c>
      <c r="K29" s="24" t="inlineStr">
        <is>
          <t>https://github.com/tangodelta217/ACQC</t>
        </is>
      </c>
    </row>
    <row r="30" ht="18" customHeight="1">
      <c r="A30" s="20" t="inlineStr">
        <is>
          <t>O03</t>
        </is>
      </c>
      <c r="B30" s="9" t="inlineStr">
        <is>
          <t>Costes (OPEX)</t>
        </is>
      </c>
      <c r="C30" s="9" t="inlineStr">
        <is>
          <t>Operación cibersegura (parches, rotación credenciales, SIEM)</t>
        </is>
      </c>
      <c r="D30" s="21" t="inlineStr">
        <is>
          <t>€/año</t>
        </is>
      </c>
      <c r="E30" s="50" t="n">
        <v>5000</v>
      </c>
      <c r="F30" s="50" t="n">
        <v>12000</v>
      </c>
      <c r="G30" s="50" t="n">
        <v>20000</v>
      </c>
      <c r="H30" s="23" t="inlineStr">
        <is>
          <t>SUPUESTO</t>
        </is>
      </c>
      <c r="I30" s="9" t="inlineStr">
        <is>
          <t>Depende de SOC/CSIRT y herramientas existentes; estimación inicial.</t>
        </is>
      </c>
      <c r="J30" s="9" t="inlineStr">
        <is>
          <t>Ciberseguridad</t>
        </is>
      </c>
      <c r="K30" s="24" t="inlineStr">
        <is>
          <t>https://github.com/tangodelta217/ACQC</t>
        </is>
      </c>
    </row>
    <row r="31" ht="18" customHeight="1">
      <c r="A31" s="20" t="inlineStr">
        <is>
          <t>O04</t>
        </is>
      </c>
      <c r="B31" s="9" t="inlineStr">
        <is>
          <t>Costes (OPEX)</t>
        </is>
      </c>
      <c r="C31" s="9" t="inlineStr">
        <is>
          <t>Infraestructura IT (almacenamiento, backups, licencias)</t>
        </is>
      </c>
      <c r="D31" s="21" t="inlineStr">
        <is>
          <t>€/año</t>
        </is>
      </c>
      <c r="E31" s="50" t="n">
        <v>3000</v>
      </c>
      <c r="F31" s="50" t="n">
        <v>8000</v>
      </c>
      <c r="G31" s="50" t="n">
        <v>15000</v>
      </c>
      <c r="H31" s="23" t="inlineStr">
        <is>
          <t>SUPUESTO</t>
        </is>
      </c>
      <c r="I31" s="9" t="inlineStr">
        <is>
          <t>Puede ser 0 si se usa infraestructura existente; confirmar.</t>
        </is>
      </c>
      <c r="J31" s="9" t="inlineStr">
        <is>
          <t>IT</t>
        </is>
      </c>
      <c r="K31" s="24" t="inlineStr">
        <is>
          <t>https://github.com/tangodelta217/ACQC</t>
        </is>
      </c>
    </row>
  </sheetData>
  <mergeCells count="2">
    <mergeCell ref="A2:K2"/>
    <mergeCell ref="A1:K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0" customWidth="1" min="5" max="5"/>
    <col width="11" customWidth="1" min="6" max="6"/>
    <col width="22" customWidth="1" min="7" max="7"/>
    <col width="26" customWidth="1" min="8" max="8"/>
  </cols>
  <sheetData>
    <row r="1" ht="28" customHeight="1">
      <c r="A1" s="1" t="inlineStr">
        <is>
          <t>Beneficios — Energía (optimización segura en modo asesor)</t>
        </is>
      </c>
    </row>
    <row r="2" ht="30" customHeight="1">
      <c r="A2" s="2" t="inlineStr">
        <is>
          <t>Beneficios calculados como resultados esperados (no medidos). Se aplican con factor de adopción del modo asesor.</t>
        </is>
      </c>
    </row>
    <row r="4" ht="22" customHeight="1">
      <c r="A4" s="6" t="inlineStr">
        <is>
          <t>Concepto</t>
        </is>
      </c>
      <c r="B4" s="6" t="inlineStr">
        <is>
          <t>Conservador</t>
        </is>
      </c>
      <c r="C4" s="6" t="inlineStr">
        <is>
          <t>Base</t>
        </is>
      </c>
      <c r="D4" s="6" t="inlineStr">
        <is>
          <t>Ambicioso</t>
        </is>
      </c>
      <c r="E4" s="6" t="inlineStr">
        <is>
          <t>Unidad</t>
        </is>
      </c>
      <c r="F4" s="6" t="inlineStr">
        <is>
          <t>ID supuesto</t>
        </is>
      </c>
      <c r="G4" s="6" t="inlineStr">
        <is>
          <t>Fuente</t>
        </is>
      </c>
      <c r="H4" s="6" t="inlineStr">
        <is>
          <t>Notas</t>
        </is>
      </c>
    </row>
    <row r="5" ht="18" customHeight="1">
      <c r="A5" s="9" t="inlineStr">
        <is>
          <t>Producción anual impactada</t>
        </is>
      </c>
      <c r="B5" s="29">
        <f>INDEX(Supuestos!$E$4:$G$31, MATCH($F5, Supuestos!$A$4:$A$31, 0), MATCH(B$4, Supuestos!$E$3:$G$3, 0))</f>
        <v/>
      </c>
      <c r="C5" s="29">
        <f>INDEX(Supuestos!$E$4:$G$31, MATCH($F5, Supuestos!$A$4:$A$31, 0), MATCH(C$4, Supuestos!$E$3:$G$3, 0))</f>
        <v/>
      </c>
      <c r="D5" s="29">
        <f>INDEX(Supuestos!$E$4:$G$31, MATCH($F5, Supuestos!$A$4:$A$31, 0), MATCH(D$4, Supuestos!$E$3:$G$3, 0))</f>
        <v/>
      </c>
      <c r="E5" s="30" t="inlineStr">
        <is>
          <t>t/año</t>
        </is>
      </c>
      <c r="F5" s="20" t="inlineStr">
        <is>
          <t>P01</t>
        </is>
      </c>
      <c r="G5" s="15">
        <f>IF($F5="","Derivado (fórmula)","Ver Supuestos (ID "&amp;$F5&amp;")")</f>
        <v/>
      </c>
      <c r="H5" s="15" t="inlineStr"/>
    </row>
    <row r="6" ht="18" customHeight="1">
      <c r="A6" s="9" t="inlineStr">
        <is>
          <t>Consumo específico base</t>
        </is>
      </c>
      <c r="B6" s="29">
        <f>INDEX(Supuestos!$E$4:$G$31, MATCH($F6, Supuestos!$A$4:$A$31, 0), MATCH(B$4, Supuestos!$E$3:$G$3, 0))</f>
        <v/>
      </c>
      <c r="C6" s="29">
        <f>INDEX(Supuestos!$E$4:$G$31, MATCH($F6, Supuestos!$A$4:$A$31, 0), MATCH(C$4, Supuestos!$E$3:$G$3, 0))</f>
        <v/>
      </c>
      <c r="D6" s="29">
        <f>INDEX(Supuestos!$E$4:$G$31, MATCH($F6, Supuestos!$A$4:$A$31, 0), MATCH(D$4, Supuestos!$E$3:$G$3, 0))</f>
        <v/>
      </c>
      <c r="E6" s="30" t="inlineStr">
        <is>
          <t>GJ/t</t>
        </is>
      </c>
      <c r="F6" s="20" t="inlineStr">
        <is>
          <t>E01</t>
        </is>
      </c>
      <c r="G6" s="15">
        <f>IF($F6="","Derivado (fórmula)","Ver Supuestos (ID "&amp;$F6&amp;")")</f>
        <v/>
      </c>
      <c r="H6" s="15" t="inlineStr"/>
    </row>
    <row r="7" ht="18" customHeight="1">
      <c r="A7" s="9" t="inlineStr">
        <is>
          <t>Precio energía promedio</t>
        </is>
      </c>
      <c r="B7" s="29">
        <f>INDEX(Supuestos!$E$4:$G$31, MATCH($F7, Supuestos!$A$4:$A$31, 0), MATCH(B$4, Supuestos!$E$3:$G$3, 0))</f>
        <v/>
      </c>
      <c r="C7" s="29">
        <f>INDEX(Supuestos!$E$4:$G$31, MATCH($F7, Supuestos!$A$4:$A$31, 0), MATCH(C$4, Supuestos!$E$3:$G$3, 0))</f>
        <v/>
      </c>
      <c r="D7" s="29">
        <f>INDEX(Supuestos!$E$4:$G$31, MATCH($F7, Supuestos!$A$4:$A$31, 0), MATCH(D$4, Supuestos!$E$3:$G$3, 0))</f>
        <v/>
      </c>
      <c r="E7" s="30" t="inlineStr">
        <is>
          <t>€/GJ</t>
        </is>
      </c>
      <c r="F7" s="20" t="inlineStr">
        <is>
          <t>E02</t>
        </is>
      </c>
      <c r="G7" s="15">
        <f>IF($F7="","Derivado (fórmula)","Ver Supuestos (ID "&amp;$F7&amp;")")</f>
        <v/>
      </c>
      <c r="H7" s="15" t="inlineStr"/>
    </row>
    <row r="8" ht="18" customHeight="1">
      <c r="A8" s="9" t="inlineStr">
        <is>
          <t>Coste energía anual base</t>
        </is>
      </c>
      <c r="B8" s="51">
        <f>B5*B6*B7</f>
        <v/>
      </c>
      <c r="C8" s="51">
        <f>C5*C6*C7</f>
        <v/>
      </c>
      <c r="D8" s="51">
        <f>D5*D6*D7</f>
        <v/>
      </c>
      <c r="E8" s="30" t="inlineStr">
        <is>
          <t>€</t>
        </is>
      </c>
      <c r="F8" s="30" t="inlineStr"/>
      <c r="G8" s="15">
        <f>IF($F8="","Derivado (fórmula)","Ver Supuestos (ID "&amp;$F8&amp;")")</f>
        <v/>
      </c>
      <c r="H8" s="15" t="inlineStr">
        <is>
          <t>P01*E01*E02</t>
        </is>
      </c>
    </row>
    <row r="9" ht="18" customHeight="1">
      <c r="A9" s="9" t="inlineStr">
        <is>
          <t>% ahorro energía por optimización</t>
        </is>
      </c>
      <c r="B9" s="48">
        <f>INDEX(Supuestos!$E$4:$G$31, MATCH($F9, Supuestos!$A$4:$A$31, 0), MATCH(B$4, Supuestos!$E$3:$G$3, 0))</f>
        <v/>
      </c>
      <c r="C9" s="48">
        <f>INDEX(Supuestos!$E$4:$G$31, MATCH($F9, Supuestos!$A$4:$A$31, 0), MATCH(C$4, Supuestos!$E$3:$G$3, 0))</f>
        <v/>
      </c>
      <c r="D9" s="48">
        <f>INDEX(Supuestos!$E$4:$G$31, MATCH($F9, Supuestos!$A$4:$A$31, 0), MATCH(D$4, Supuestos!$E$3:$G$3, 0))</f>
        <v/>
      </c>
      <c r="E9" s="30" t="inlineStr">
        <is>
          <t>%</t>
        </is>
      </c>
      <c r="F9" s="20" t="inlineStr">
        <is>
          <t>E03</t>
        </is>
      </c>
      <c r="G9" s="15">
        <f>IF($F9="","Derivado (fórmula)","Ver Supuestos (ID "&amp;$F9&amp;")")</f>
        <v/>
      </c>
      <c r="H9" s="15" t="inlineStr"/>
    </row>
    <row r="10" ht="18" customHeight="1">
      <c r="A10" s="9" t="inlineStr">
        <is>
          <t>Adopción efectiva (human-in-the-loop)</t>
        </is>
      </c>
      <c r="B10" s="48">
        <f>INDEX(Supuestos!$E$4:$G$31, MATCH($F10, Supuestos!$A$4:$A$31, 0), MATCH(B$4, Supuestos!$E$3:$G$3, 0))</f>
        <v/>
      </c>
      <c r="C10" s="48">
        <f>INDEX(Supuestos!$E$4:$G$31, MATCH($F10, Supuestos!$A$4:$A$31, 0), MATCH(C$4, Supuestos!$E$3:$G$3, 0))</f>
        <v/>
      </c>
      <c r="D10" s="48">
        <f>INDEX(Supuestos!$E$4:$G$31, MATCH($F10, Supuestos!$A$4:$A$31, 0), MATCH(D$4, Supuestos!$E$3:$G$3, 0))</f>
        <v/>
      </c>
      <c r="E10" s="30" t="inlineStr">
        <is>
          <t>%</t>
        </is>
      </c>
      <c r="F10" s="20" t="inlineStr">
        <is>
          <t>A01</t>
        </is>
      </c>
      <c r="G10" s="15">
        <f>IF($F10="","Derivado (fórmula)","Ver Supuestos (ID "&amp;$F10&amp;")")</f>
        <v/>
      </c>
      <c r="H10" s="15" t="inlineStr"/>
    </row>
    <row r="11" ht="18" customHeight="1">
      <c r="A11" s="9" t="inlineStr">
        <is>
          <t>Ahorro anual energía (realizado)</t>
        </is>
      </c>
      <c r="B11" s="51">
        <f>B8*B9/100*B10/100</f>
        <v/>
      </c>
      <c r="C11" s="51">
        <f>C8*C9/100*C10/100</f>
        <v/>
      </c>
      <c r="D11" s="51">
        <f>D8*D9/100*D10/100</f>
        <v/>
      </c>
      <c r="E11" s="30" t="inlineStr">
        <is>
          <t>€</t>
        </is>
      </c>
      <c r="F11" s="30" t="inlineStr"/>
      <c r="G11" s="15">
        <f>IF($F11="","Derivado (fórmula)","Ver Supuestos (ID "&amp;$F11&amp;")")</f>
        <v/>
      </c>
      <c r="H11" s="15" t="inlineStr">
        <is>
          <t>Coste_base*%ahorro*adopción</t>
        </is>
      </c>
    </row>
    <row r="12" ht="18" customHeight="1"/>
    <row r="13" ht="20" customHeight="1">
      <c r="A13" s="32" t="inlineStr">
        <is>
          <t>Ahorro anual total (energía)</t>
        </is>
      </c>
      <c r="B13" s="44">
        <f>B11</f>
        <v/>
      </c>
      <c r="C13" s="44">
        <f>C11</f>
        <v/>
      </c>
      <c r="D13" s="44">
        <f>D11</f>
        <v/>
      </c>
      <c r="E13" s="30" t="inlineStr">
        <is>
          <t>€</t>
        </is>
      </c>
      <c r="F13" s="33" t="inlineStr"/>
      <c r="G13" s="33" t="inlineStr"/>
      <c r="H13" s="33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0" customWidth="1" min="5" max="5"/>
    <col width="11" customWidth="1" min="6" max="6"/>
    <col width="22" customWidth="1" min="7" max="7"/>
    <col width="26" customWidth="1" min="8" max="8"/>
  </cols>
  <sheetData>
    <row r="1" ht="28" customHeight="1">
      <c r="A1" s="1" t="inlineStr">
        <is>
          <t>Beneficios — Calidad (scrap/rework/lotes)</t>
        </is>
      </c>
    </row>
    <row r="2" ht="30" customHeight="1">
      <c r="A2" s="2" t="inlineStr">
        <is>
          <t>Beneficios estimados por reducción de scrap/rework y menor probabilidad de lotes fuera de especificación (resultados esperados).</t>
        </is>
      </c>
    </row>
    <row r="4" ht="22" customHeight="1">
      <c r="A4" s="6" t="inlineStr">
        <is>
          <t>Concepto</t>
        </is>
      </c>
      <c r="B4" s="6" t="inlineStr">
        <is>
          <t>Conservador</t>
        </is>
      </c>
      <c r="C4" s="6" t="inlineStr">
        <is>
          <t>Base</t>
        </is>
      </c>
      <c r="D4" s="6" t="inlineStr">
        <is>
          <t>Ambicioso</t>
        </is>
      </c>
      <c r="E4" s="6" t="inlineStr">
        <is>
          <t>Unidad</t>
        </is>
      </c>
      <c r="F4" s="6" t="inlineStr">
        <is>
          <t>ID supuesto</t>
        </is>
      </c>
      <c r="G4" s="6" t="inlineStr">
        <is>
          <t>Fuente</t>
        </is>
      </c>
      <c r="H4" s="6" t="inlineStr">
        <is>
          <t>Notas</t>
        </is>
      </c>
    </row>
    <row r="5" ht="18" customHeight="1">
      <c r="A5" s="9" t="inlineStr">
        <is>
          <t>Producción anual impactada</t>
        </is>
      </c>
      <c r="B5" s="29">
        <f>INDEX(Supuestos!$E$4:$G$31, MATCH($F5, Supuestos!$A$4:$A$31, 0), MATCH(B$4, Supuestos!$E$3:$G$3, 0))</f>
        <v/>
      </c>
      <c r="C5" s="29">
        <f>INDEX(Supuestos!$E$4:$G$31, MATCH($F5, Supuestos!$A$4:$A$31, 0), MATCH(C$4, Supuestos!$E$3:$G$3, 0))</f>
        <v/>
      </c>
      <c r="D5" s="29">
        <f>INDEX(Supuestos!$E$4:$G$31, MATCH($F5, Supuestos!$A$4:$A$31, 0), MATCH(D$4, Supuestos!$E$3:$G$3, 0))</f>
        <v/>
      </c>
      <c r="E5" s="30" t="inlineStr">
        <is>
          <t>t/año</t>
        </is>
      </c>
      <c r="F5" s="20" t="inlineStr">
        <is>
          <t>P01</t>
        </is>
      </c>
      <c r="G5" s="15">
        <f>IF($F5="","Derivado (fórmula)","Ver Supuestos (ID "&amp;$F5&amp;")")</f>
        <v/>
      </c>
      <c r="H5" s="15" t="inlineStr"/>
    </row>
    <row r="6" ht="18" customHeight="1">
      <c r="A6" s="9" t="inlineStr">
        <is>
          <t>Tasa scrap/rework base</t>
        </is>
      </c>
      <c r="B6" s="48">
        <f>INDEX(Supuestos!$E$4:$G$31, MATCH($F6, Supuestos!$A$4:$A$31, 0), MATCH(B$4, Supuestos!$E$3:$G$3, 0))</f>
        <v/>
      </c>
      <c r="C6" s="48">
        <f>INDEX(Supuestos!$E$4:$G$31, MATCH($F6, Supuestos!$A$4:$A$31, 0), MATCH(C$4, Supuestos!$E$3:$G$3, 0))</f>
        <v/>
      </c>
      <c r="D6" s="48">
        <f>INDEX(Supuestos!$E$4:$G$31, MATCH($F6, Supuestos!$A$4:$A$31, 0), MATCH(D$4, Supuestos!$E$3:$G$3, 0))</f>
        <v/>
      </c>
      <c r="E6" s="30" t="inlineStr">
        <is>
          <t>%</t>
        </is>
      </c>
      <c r="F6" s="20" t="inlineStr">
        <is>
          <t>Q01</t>
        </is>
      </c>
      <c r="G6" s="15">
        <f>IF($F6="","Derivado (fórmula)","Ver Supuestos (ID "&amp;$F6&amp;")")</f>
        <v/>
      </c>
      <c r="H6" s="15" t="inlineStr"/>
    </row>
    <row r="7" ht="18" customHeight="1">
      <c r="A7" s="9" t="inlineStr">
        <is>
          <t>Coste incremental scrap/rework</t>
        </is>
      </c>
      <c r="B7" s="46">
        <f>INDEX(Supuestos!$E$4:$G$31, MATCH($F7, Supuestos!$A$4:$A$31, 0), MATCH(B$4, Supuestos!$E$3:$G$3, 0))</f>
        <v/>
      </c>
      <c r="C7" s="46">
        <f>INDEX(Supuestos!$E$4:$G$31, MATCH($F7, Supuestos!$A$4:$A$31, 0), MATCH(C$4, Supuestos!$E$3:$G$3, 0))</f>
        <v/>
      </c>
      <c r="D7" s="46">
        <f>INDEX(Supuestos!$E$4:$G$31, MATCH($F7, Supuestos!$A$4:$A$31, 0), MATCH(D$4, Supuestos!$E$3:$G$3, 0))</f>
        <v/>
      </c>
      <c r="E7" s="30" t="inlineStr">
        <is>
          <t>€/t</t>
        </is>
      </c>
      <c r="F7" s="20" t="inlineStr">
        <is>
          <t>Q02</t>
        </is>
      </c>
      <c r="G7" s="15">
        <f>IF($F7="","Derivado (fórmula)","Ver Supuestos (ID "&amp;$F7&amp;")")</f>
        <v/>
      </c>
      <c r="H7" s="15" t="inlineStr"/>
    </row>
    <row r="8" ht="18" customHeight="1">
      <c r="A8" s="9" t="inlineStr">
        <is>
          <t>Coste anual scrap/rework (base)</t>
        </is>
      </c>
      <c r="B8" s="51">
        <f>B5*B6/100*B7</f>
        <v/>
      </c>
      <c r="C8" s="51">
        <f>C5*C6/100*C7</f>
        <v/>
      </c>
      <c r="D8" s="51">
        <f>D5*D6/100*D7</f>
        <v/>
      </c>
      <c r="E8" s="30" t="inlineStr">
        <is>
          <t>€</t>
        </is>
      </c>
      <c r="F8" s="30" t="inlineStr"/>
      <c r="G8" s="15">
        <f>IF($F8="","Derivado (fórmula)","Ver Supuestos (ID "&amp;$F8&amp;")")</f>
        <v/>
      </c>
      <c r="H8" s="15" t="inlineStr">
        <is>
          <t>P01*Q01*Q02</t>
        </is>
      </c>
    </row>
    <row r="9" ht="18" customHeight="1">
      <c r="A9" s="9" t="inlineStr">
        <is>
          <t>Reducción scrap/rework por ACQC</t>
        </is>
      </c>
      <c r="B9" s="48">
        <f>INDEX(Supuestos!$E$4:$G$31, MATCH($F9, Supuestos!$A$4:$A$31, 0), MATCH(B$4, Supuestos!$E$3:$G$3, 0))</f>
        <v/>
      </c>
      <c r="C9" s="48">
        <f>INDEX(Supuestos!$E$4:$G$31, MATCH($F9, Supuestos!$A$4:$A$31, 0), MATCH(C$4, Supuestos!$E$3:$G$3, 0))</f>
        <v/>
      </c>
      <c r="D9" s="48">
        <f>INDEX(Supuestos!$E$4:$G$31, MATCH($F9, Supuestos!$A$4:$A$31, 0), MATCH(D$4, Supuestos!$E$3:$G$3, 0))</f>
        <v/>
      </c>
      <c r="E9" s="30" t="inlineStr">
        <is>
          <t>%</t>
        </is>
      </c>
      <c r="F9" s="20" t="inlineStr">
        <is>
          <t>Q03</t>
        </is>
      </c>
      <c r="G9" s="15">
        <f>IF($F9="","Derivado (fórmula)","Ver Supuestos (ID "&amp;$F9&amp;")")</f>
        <v/>
      </c>
      <c r="H9" s="15" t="inlineStr"/>
    </row>
    <row r="10" ht="18" customHeight="1">
      <c r="A10" s="9" t="inlineStr">
        <is>
          <t>Ahorro anual por calidad (realizado)</t>
        </is>
      </c>
      <c r="B10" s="51">
        <f>B8*B9/100</f>
        <v/>
      </c>
      <c r="C10" s="51">
        <f>C8*C9/100</f>
        <v/>
      </c>
      <c r="D10" s="51">
        <f>D8*D9/100</f>
        <v/>
      </c>
      <c r="E10" s="30" t="inlineStr">
        <is>
          <t>€</t>
        </is>
      </c>
      <c r="F10" s="30" t="inlineStr"/>
      <c r="G10" s="15">
        <f>IF($F10="","Derivado (fórmula)","Ver Supuestos (ID "&amp;$F10&amp;")")</f>
        <v/>
      </c>
      <c r="H10" s="15" t="inlineStr">
        <is>
          <t>Coste_base*reducción</t>
        </is>
      </c>
    </row>
    <row r="11" ht="18" customHeight="1"/>
    <row r="12" ht="20" customHeight="1">
      <c r="A12" s="32" t="inlineStr">
        <is>
          <t>Ahorro anual total (calidad)</t>
        </is>
      </c>
      <c r="B12" s="44">
        <f>B10</f>
        <v/>
      </c>
      <c r="C12" s="44">
        <f>C10</f>
        <v/>
      </c>
      <c r="D12" s="44">
        <f>D10</f>
        <v/>
      </c>
      <c r="E12" s="30" t="inlineStr">
        <is>
          <t>€</t>
        </is>
      </c>
      <c r="F12" s="33" t="inlineStr"/>
      <c r="G12" s="33" t="inlineStr"/>
      <c r="H12" s="33" t="inlineStr"/>
    </row>
    <row r="13" ht="18" customHeight="1"/>
    <row r="14" ht="18" customHeight="1">
      <c r="A14" s="2" t="inlineStr">
        <is>
          <t>CQAs considerados en la validación ACQC: densidad@15°C, viscosidad@40°C, TAN e índice de cloro. La reducción de scrap/rework se atribuye a detección temprana y operación dentro de especificación (modo asesor).</t>
        </is>
      </c>
    </row>
    <row r="15" ht="18" customHeight="1"/>
    <row r="16" ht="18" customHeight="1"/>
    <row r="17" ht="18" customHeight="1"/>
  </sheetData>
  <mergeCells count="3">
    <mergeCell ref="A2:H2"/>
    <mergeCell ref="A14:H17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0" customWidth="1" min="5" max="5"/>
    <col width="11" customWidth="1" min="6" max="6"/>
    <col width="22" customWidth="1" min="7" max="7"/>
    <col width="26" customWidth="1" min="8" max="8"/>
    <col width="3" customWidth="1" min="9" max="9"/>
  </cols>
  <sheetData>
    <row r="1" ht="28" customHeight="1">
      <c r="A1" s="1" t="inlineStr">
        <is>
          <t>Beneficios — Disponibilidad y rendimiento</t>
        </is>
      </c>
    </row>
    <row r="2" ht="32" customHeight="1">
      <c r="A2" s="2" t="inlineStr">
        <is>
          <t>Incluye (i) reducción de downtime por fallback/alertas y (ii) mejora esperada de rendimiento/throughput por optimización (modo asesor).</t>
        </is>
      </c>
    </row>
    <row r="4" ht="22" customHeight="1">
      <c r="A4" s="6" t="inlineStr">
        <is>
          <t>Concepto</t>
        </is>
      </c>
      <c r="B4" s="6" t="inlineStr">
        <is>
          <t>Conservador</t>
        </is>
      </c>
      <c r="C4" s="6" t="inlineStr">
        <is>
          <t>Base</t>
        </is>
      </c>
      <c r="D4" s="6" t="inlineStr">
        <is>
          <t>Ambicioso</t>
        </is>
      </c>
      <c r="E4" s="6" t="inlineStr">
        <is>
          <t>Unidad</t>
        </is>
      </c>
      <c r="F4" s="6" t="inlineStr">
        <is>
          <t>ID supuesto</t>
        </is>
      </c>
      <c r="G4" s="6" t="inlineStr">
        <is>
          <t>Fuente</t>
        </is>
      </c>
      <c r="H4" s="6" t="inlineStr">
        <is>
          <t>Notas</t>
        </is>
      </c>
      <c r="I4" s="6" t="inlineStr"/>
    </row>
    <row r="5" ht="18" customHeight="1">
      <c r="A5" s="9" t="inlineStr">
        <is>
          <t>Producción anual impactada</t>
        </is>
      </c>
      <c r="B5" s="29">
        <f>INDEX(Supuestos!$E$4:$G$31, MATCH($F5, Supuestos!$A$4:$A$31, 0), MATCH(B$4, Supuestos!$E$3:$G$3, 0))</f>
        <v/>
      </c>
      <c r="C5" s="29">
        <f>INDEX(Supuestos!$E$4:$G$31, MATCH($F5, Supuestos!$A$4:$A$31, 0), MATCH(C$4, Supuestos!$E$3:$G$3, 0))</f>
        <v/>
      </c>
      <c r="D5" s="29">
        <f>INDEX(Supuestos!$E$4:$G$31, MATCH($F5, Supuestos!$A$4:$A$31, 0), MATCH(D$4, Supuestos!$E$3:$G$3, 0))</f>
        <v/>
      </c>
      <c r="E5" s="30" t="inlineStr">
        <is>
          <t>t/año</t>
        </is>
      </c>
      <c r="F5" s="20" t="inlineStr">
        <is>
          <t>P01</t>
        </is>
      </c>
      <c r="G5" s="15">
        <f>IF($F5="","Derivado (fórmula)","Ver Supuestos (ID "&amp;$F5&amp;")")</f>
        <v/>
      </c>
      <c r="H5" s="15" t="inlineStr"/>
      <c r="I5" s="33" t="inlineStr"/>
    </row>
    <row r="6" ht="18" customHeight="1">
      <c r="A6" s="9" t="inlineStr">
        <is>
          <t>Horas por año</t>
        </is>
      </c>
      <c r="B6" s="29">
        <f>INDEX(Supuestos!$E$4:$G$31, MATCH($F6, Supuestos!$A$4:$A$31, 0), MATCH(B$4, Supuestos!$E$3:$G$3, 0))</f>
        <v/>
      </c>
      <c r="C6" s="29">
        <f>INDEX(Supuestos!$E$4:$G$31, MATCH($F6, Supuestos!$A$4:$A$31, 0), MATCH(C$4, Supuestos!$E$3:$G$3, 0))</f>
        <v/>
      </c>
      <c r="D6" s="29">
        <f>INDEX(Supuestos!$E$4:$G$31, MATCH($F6, Supuestos!$A$4:$A$31, 0), MATCH(D$4, Supuestos!$E$3:$G$3, 0))</f>
        <v/>
      </c>
      <c r="E6" s="30" t="inlineStr">
        <is>
          <t>h/año</t>
        </is>
      </c>
      <c r="F6" s="20" t="inlineStr">
        <is>
          <t>K00</t>
        </is>
      </c>
      <c r="G6" s="15">
        <f>IF($F6="","Derivado (fórmula)","Ver Supuestos (ID "&amp;$F6&amp;")")</f>
        <v/>
      </c>
      <c r="H6" s="15" t="inlineStr"/>
      <c r="I6" s="33" t="inlineStr"/>
    </row>
    <row r="7" ht="18" customHeight="1">
      <c r="A7" s="9" t="inlineStr">
        <is>
          <t>Margen por tonelada</t>
        </is>
      </c>
      <c r="B7" s="46">
        <f>INDEX(Supuestos!$E$4:$G$31, MATCH($F7, Supuestos!$A$4:$A$31, 0), MATCH(B$4, Supuestos!$E$3:$G$3, 0))</f>
        <v/>
      </c>
      <c r="C7" s="46">
        <f>INDEX(Supuestos!$E$4:$G$31, MATCH($F7, Supuestos!$A$4:$A$31, 0), MATCH(C$4, Supuestos!$E$3:$G$3, 0))</f>
        <v/>
      </c>
      <c r="D7" s="46">
        <f>INDEX(Supuestos!$E$4:$G$31, MATCH($F7, Supuestos!$A$4:$A$31, 0), MATCH(D$4, Supuestos!$E$3:$G$3, 0))</f>
        <v/>
      </c>
      <c r="E7" s="30" t="inlineStr">
        <is>
          <t>€/t</t>
        </is>
      </c>
      <c r="F7" s="20" t="inlineStr">
        <is>
          <t>P02</t>
        </is>
      </c>
      <c r="G7" s="15">
        <f>IF($F7="","Derivado (fórmula)","Ver Supuestos (ID "&amp;$F7&amp;")")</f>
        <v/>
      </c>
      <c r="H7" s="15" t="inlineStr"/>
      <c r="I7" s="33" t="inlineStr"/>
    </row>
    <row r="8" ht="18" customHeight="1">
      <c r="A8" s="9" t="inlineStr">
        <is>
          <t>Downtime anual (baseline)</t>
        </is>
      </c>
      <c r="B8" s="29">
        <f>INDEX(Supuestos!$E$4:$G$31, MATCH($F8, Supuestos!$A$4:$A$31, 0), MATCH(B$4, Supuestos!$E$3:$G$3, 0))</f>
        <v/>
      </c>
      <c r="C8" s="29">
        <f>INDEX(Supuestos!$E$4:$G$31, MATCH($F8, Supuestos!$A$4:$A$31, 0), MATCH(C$4, Supuestos!$E$3:$G$3, 0))</f>
        <v/>
      </c>
      <c r="D8" s="29">
        <f>INDEX(Supuestos!$E$4:$G$31, MATCH($F8, Supuestos!$A$4:$A$31, 0), MATCH(D$4, Supuestos!$E$3:$G$3, 0))</f>
        <v/>
      </c>
      <c r="E8" s="30" t="inlineStr">
        <is>
          <t>h/año</t>
        </is>
      </c>
      <c r="F8" s="20" t="inlineStr">
        <is>
          <t>A02</t>
        </is>
      </c>
      <c r="G8" s="15">
        <f>IF($F8="","Derivado (fórmula)","Ver Supuestos (ID "&amp;$F8&amp;")")</f>
        <v/>
      </c>
      <c r="H8" s="15" t="inlineStr"/>
      <c r="I8" s="33" t="inlineStr"/>
    </row>
    <row r="9" ht="18" customHeight="1">
      <c r="A9" s="9" t="inlineStr">
        <is>
          <t>Reducción downtime por ACQC</t>
        </is>
      </c>
      <c r="B9" s="48">
        <f>INDEX(Supuestos!$E$4:$G$31, MATCH($F9, Supuestos!$A$4:$A$31, 0), MATCH(B$4, Supuestos!$E$3:$G$3, 0))</f>
        <v/>
      </c>
      <c r="C9" s="48">
        <f>INDEX(Supuestos!$E$4:$G$31, MATCH($F9, Supuestos!$A$4:$A$31, 0), MATCH(C$4, Supuestos!$E$3:$G$3, 0))</f>
        <v/>
      </c>
      <c r="D9" s="48">
        <f>INDEX(Supuestos!$E$4:$G$31, MATCH($F9, Supuestos!$A$4:$A$31, 0), MATCH(D$4, Supuestos!$E$3:$G$3, 0))</f>
        <v/>
      </c>
      <c r="E9" s="30" t="inlineStr">
        <is>
          <t>%</t>
        </is>
      </c>
      <c r="F9" s="20" t="inlineStr">
        <is>
          <t>A03</t>
        </is>
      </c>
      <c r="G9" s="15">
        <f>IF($F9="","Derivado (fórmula)","Ver Supuestos (ID "&amp;$F9&amp;")")</f>
        <v/>
      </c>
      <c r="H9" s="15" t="inlineStr"/>
      <c r="I9" s="33" t="inlineStr"/>
    </row>
    <row r="10" ht="18" customHeight="1">
      <c r="A10" s="9" t="inlineStr">
        <is>
          <t>Producción perdida por downtime (t/año)</t>
        </is>
      </c>
      <c r="B10" s="52">
        <f>B5/B6*B8</f>
        <v/>
      </c>
      <c r="C10" s="52">
        <f>C5/C6*C8</f>
        <v/>
      </c>
      <c r="D10" s="52">
        <f>D5/D6*D8</f>
        <v/>
      </c>
      <c r="E10" s="30" t="inlineStr">
        <is>
          <t>t/año</t>
        </is>
      </c>
      <c r="F10" s="30" t="inlineStr"/>
      <c r="G10" s="15">
        <f>IF($F10="","Derivado (fórmula)","Ver Supuestos (ID "&amp;$F10&amp;")")</f>
        <v/>
      </c>
      <c r="H10" s="15" t="inlineStr"/>
      <c r="I10" s="33" t="inlineStr"/>
    </row>
    <row r="11" ht="18" customHeight="1">
      <c r="A11" s="9" t="inlineStr">
        <is>
          <t>Coste anual por downtime (margen perdido)</t>
        </is>
      </c>
      <c r="B11" s="53">
        <f>B10*B7</f>
        <v/>
      </c>
      <c r="C11" s="53">
        <f>C10*C7</f>
        <v/>
      </c>
      <c r="D11" s="53">
        <f>D10*D7</f>
        <v/>
      </c>
      <c r="E11" s="30" t="inlineStr">
        <is>
          <t>€</t>
        </is>
      </c>
      <c r="F11" s="30" t="inlineStr"/>
      <c r="G11" s="15">
        <f>IF($F11="","Derivado (fórmula)","Ver Supuestos (ID "&amp;$F11&amp;")")</f>
        <v/>
      </c>
      <c r="H11" s="15" t="inlineStr"/>
      <c r="I11" s="33" t="inlineStr"/>
    </row>
    <row r="12" ht="18" customHeight="1">
      <c r="A12" s="9" t="inlineStr">
        <is>
          <t>Ahorro anual por reducción de downtime</t>
        </is>
      </c>
      <c r="B12" s="53">
        <f>B11*B9/100</f>
        <v/>
      </c>
      <c r="C12" s="53">
        <f>C11*C9/100</f>
        <v/>
      </c>
      <c r="D12" s="53">
        <f>D11*D9/100</f>
        <v/>
      </c>
      <c r="E12" s="30" t="inlineStr">
        <is>
          <t>€</t>
        </is>
      </c>
      <c r="F12" s="30" t="inlineStr"/>
      <c r="G12" s="15">
        <f>IF($F12="","Derivado (fórmula)","Ver Supuestos (ID "&amp;$F12&amp;")")</f>
        <v/>
      </c>
      <c r="H12" s="15" t="inlineStr"/>
      <c r="I12" s="33" t="inlineStr"/>
    </row>
    <row r="13" ht="18" customHeight="1">
      <c r="A13" s="9" t="inlineStr">
        <is>
          <t>Mejora throughput/rendimiento por optimización (esperada)</t>
        </is>
      </c>
      <c r="B13" s="48">
        <f>INDEX(Supuestos!$E$4:$G$31, MATCH($F13, Supuestos!$A$4:$A$31, 0), MATCH(B$4, Supuestos!$E$3:$G$3, 0))</f>
        <v/>
      </c>
      <c r="C13" s="48">
        <f>INDEX(Supuestos!$E$4:$G$31, MATCH($F13, Supuestos!$A$4:$A$31, 0), MATCH(C$4, Supuestos!$E$3:$G$3, 0))</f>
        <v/>
      </c>
      <c r="D13" s="48">
        <f>INDEX(Supuestos!$E$4:$G$31, MATCH($F13, Supuestos!$A$4:$A$31, 0), MATCH(D$4, Supuestos!$E$3:$G$3, 0))</f>
        <v/>
      </c>
      <c r="E13" s="30" t="inlineStr">
        <is>
          <t>%</t>
        </is>
      </c>
      <c r="F13" s="20" t="inlineStr">
        <is>
          <t>P03</t>
        </is>
      </c>
      <c r="G13" s="15">
        <f>IF($F13="","Derivado (fórmula)","Ver Supuestos (ID "&amp;$F13&amp;")")</f>
        <v/>
      </c>
      <c r="H13" s="15" t="inlineStr"/>
      <c r="I13" s="33" t="inlineStr"/>
    </row>
    <row r="14" ht="18" customHeight="1">
      <c r="A14" s="9" t="inlineStr">
        <is>
          <t>Adopción efectiva (human-in-the-loop)</t>
        </is>
      </c>
      <c r="B14" s="48">
        <f>INDEX(Supuestos!$E$4:$G$31, MATCH($F14, Supuestos!$A$4:$A$31, 0), MATCH(B$4, Supuestos!$E$3:$G$3, 0))</f>
        <v/>
      </c>
      <c r="C14" s="48">
        <f>INDEX(Supuestos!$E$4:$G$31, MATCH($F14, Supuestos!$A$4:$A$31, 0), MATCH(C$4, Supuestos!$E$3:$G$3, 0))</f>
        <v/>
      </c>
      <c r="D14" s="48">
        <f>INDEX(Supuestos!$E$4:$G$31, MATCH($F14, Supuestos!$A$4:$A$31, 0), MATCH(D$4, Supuestos!$E$3:$G$3, 0))</f>
        <v/>
      </c>
      <c r="E14" s="30" t="inlineStr">
        <is>
          <t>%</t>
        </is>
      </c>
      <c r="F14" s="20" t="inlineStr">
        <is>
          <t>A01</t>
        </is>
      </c>
      <c r="G14" s="15">
        <f>IF($F14="","Derivado (fórmula)","Ver Supuestos (ID "&amp;$F14&amp;")")</f>
        <v/>
      </c>
      <c r="H14" s="15" t="inlineStr"/>
      <c r="I14" s="33" t="inlineStr"/>
    </row>
    <row r="15" ht="18" customHeight="1">
      <c r="A15" s="9" t="inlineStr">
        <is>
          <t>Beneficio anual por throughput (margen)</t>
        </is>
      </c>
      <c r="B15" s="53">
        <f>B5*B13/100*B7*B14/100</f>
        <v/>
      </c>
      <c r="C15" s="53">
        <f>C5*C13/100*C7*C14/100</f>
        <v/>
      </c>
      <c r="D15" s="53">
        <f>D5*D13/100*D7*D14/100</f>
        <v/>
      </c>
      <c r="E15" s="30" t="inlineStr">
        <is>
          <t>€</t>
        </is>
      </c>
      <c r="F15" s="30" t="inlineStr"/>
      <c r="G15" s="15">
        <f>IF($F15="","Derivado (fórmula)","Ver Supuestos (ID "&amp;$F15&amp;")")</f>
        <v/>
      </c>
      <c r="H15" s="15" t="inlineStr"/>
      <c r="I15" s="33" t="inlineStr"/>
    </row>
    <row r="16" ht="18" customHeight="1">
      <c r="A16" s="36" t="inlineStr">
        <is>
          <t>Beneficio anual total (disponibilidad+rto)</t>
        </is>
      </c>
      <c r="B16" s="54">
        <f>B12+B15</f>
        <v/>
      </c>
      <c r="C16" s="54">
        <f>C12+C15</f>
        <v/>
      </c>
      <c r="D16" s="54">
        <f>D12+D15</f>
        <v/>
      </c>
      <c r="E16" s="38" t="inlineStr">
        <is>
          <t>€</t>
        </is>
      </c>
      <c r="F16" s="38" t="inlineStr"/>
      <c r="G16" s="39">
        <f>IF($F16="","Derivado (fórmula)","Ver Supuestos (ID "&amp;$F16&amp;")")</f>
        <v/>
      </c>
      <c r="H16" s="36" t="inlineStr"/>
      <c r="I16" s="40" t="inlineStr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0" customWidth="1" min="5" max="5"/>
    <col width="11" customWidth="1" min="6" max="6"/>
    <col width="22" customWidth="1" min="7" max="7"/>
    <col width="26" customWidth="1" min="8" max="8"/>
  </cols>
  <sheetData>
    <row r="1" ht="28" customHeight="1">
      <c r="A1" s="1" t="inlineStr">
        <is>
          <t>Costes — CAPEX / OPEX (estimación piloto)</t>
        </is>
      </c>
    </row>
    <row r="2" ht="30" customHeight="1">
      <c r="A2" s="2" t="inlineStr">
        <is>
          <t>Los costes deben trazarse a cotizaciones, listas internas o entrevistas. Valores actuales son supuestos editables salvo donde se indique fuente.</t>
        </is>
      </c>
    </row>
    <row r="4" ht="22" customHeight="1">
      <c r="A4" s="6" t="inlineStr">
        <is>
          <t>Concepto</t>
        </is>
      </c>
      <c r="B4" s="6" t="inlineStr">
        <is>
          <t>Conservador</t>
        </is>
      </c>
      <c r="C4" s="6" t="inlineStr">
        <is>
          <t>Base</t>
        </is>
      </c>
      <c r="D4" s="6" t="inlineStr">
        <is>
          <t>Ambicioso</t>
        </is>
      </c>
      <c r="E4" s="6" t="inlineStr">
        <is>
          <t>Unidad</t>
        </is>
      </c>
      <c r="F4" s="6" t="inlineStr">
        <is>
          <t>ID supuesto</t>
        </is>
      </c>
      <c r="G4" s="6" t="inlineStr">
        <is>
          <t>Fuente</t>
        </is>
      </c>
      <c r="H4" s="6" t="inlineStr">
        <is>
          <t>Notas</t>
        </is>
      </c>
    </row>
    <row r="5" ht="18" customHeight="1">
      <c r="A5" s="32" t="inlineStr">
        <is>
          <t>CAPEX — PAT (analizador + instalación)</t>
        </is>
      </c>
      <c r="B5" s="46">
        <f>INDEX(Supuestos!$E$4:$G$31, MATCH($F5, Supuestos!$A$4:$A$31, 0), MATCH(B$4, Supuestos!$E$3:$G$3, 0))</f>
        <v/>
      </c>
      <c r="C5" s="46">
        <f>INDEX(Supuestos!$E$4:$G$31, MATCH($F5, Supuestos!$A$4:$A$31, 0), MATCH(C$4, Supuestos!$E$3:$G$3, 0))</f>
        <v/>
      </c>
      <c r="D5" s="46">
        <f>INDEX(Supuestos!$E$4:$G$31, MATCH($F5, Supuestos!$A$4:$A$31, 0), MATCH(D$4, Supuestos!$E$3:$G$3, 0))</f>
        <v/>
      </c>
      <c r="E5" s="30" t="inlineStr">
        <is>
          <t>€</t>
        </is>
      </c>
      <c r="F5" s="20" t="inlineStr">
        <is>
          <t>C01</t>
        </is>
      </c>
      <c r="G5" s="15">
        <f>IF($F5="","Derivado (fórmula)","Ver Supuestos (ID "&amp;$F5&amp;")")</f>
        <v/>
      </c>
      <c r="H5" s="15" t="inlineStr"/>
    </row>
    <row r="6" ht="18" customHeight="1">
      <c r="A6" s="32" t="inlineStr">
        <is>
          <t>CAPEX — Edge industrial + armario</t>
        </is>
      </c>
      <c r="B6" s="46">
        <f>INDEX(Supuestos!$E$4:$G$31, MATCH($F6, Supuestos!$A$4:$A$31, 0), MATCH(B$4, Supuestos!$E$3:$G$3, 0))</f>
        <v/>
      </c>
      <c r="C6" s="46">
        <f>INDEX(Supuestos!$E$4:$G$31, MATCH($F6, Supuestos!$A$4:$A$31, 0), MATCH(C$4, Supuestos!$E$3:$G$3, 0))</f>
        <v/>
      </c>
      <c r="D6" s="46">
        <f>INDEX(Supuestos!$E$4:$G$31, MATCH($F6, Supuestos!$A$4:$A$31, 0), MATCH(D$4, Supuestos!$E$3:$G$3, 0))</f>
        <v/>
      </c>
      <c r="E6" s="30" t="inlineStr">
        <is>
          <t>€</t>
        </is>
      </c>
      <c r="F6" s="20" t="inlineStr">
        <is>
          <t>C02</t>
        </is>
      </c>
      <c r="G6" s="15">
        <f>IF($F6="","Derivado (fórmula)","Ver Supuestos (ID "&amp;$F6&amp;")")</f>
        <v/>
      </c>
      <c r="H6" s="15" t="inlineStr"/>
    </row>
    <row r="7" ht="18" customHeight="1">
      <c r="A7" s="32" t="inlineStr">
        <is>
          <t>CAPEX — Integración OT/IT</t>
        </is>
      </c>
      <c r="B7" s="46">
        <f>INDEX(Supuestos!$E$4:$G$31, MATCH($F7, Supuestos!$A$4:$A$31, 0), MATCH(B$4, Supuestos!$E$3:$G$3, 0))</f>
        <v/>
      </c>
      <c r="C7" s="46">
        <f>INDEX(Supuestos!$E$4:$G$31, MATCH($F7, Supuestos!$A$4:$A$31, 0), MATCH(C$4, Supuestos!$E$3:$G$3, 0))</f>
        <v/>
      </c>
      <c r="D7" s="46">
        <f>INDEX(Supuestos!$E$4:$G$31, MATCH($F7, Supuestos!$A$4:$A$31, 0), MATCH(D$4, Supuestos!$E$3:$G$3, 0))</f>
        <v/>
      </c>
      <c r="E7" s="30" t="inlineStr">
        <is>
          <t>€</t>
        </is>
      </c>
      <c r="F7" s="20" t="inlineStr">
        <is>
          <t>C03</t>
        </is>
      </c>
      <c r="G7" s="15">
        <f>IF($F7="","Derivado (fórmula)","Ver Supuestos (ID "&amp;$F7&amp;")")</f>
        <v/>
      </c>
      <c r="H7" s="15" t="inlineStr"/>
    </row>
    <row r="8" ht="18" customHeight="1">
      <c r="A8" s="32" t="inlineStr">
        <is>
          <t>CAPEX — Ciberseguridad/hardening</t>
        </is>
      </c>
      <c r="B8" s="46">
        <f>INDEX(Supuestos!$E$4:$G$31, MATCH($F8, Supuestos!$A$4:$A$31, 0), MATCH(B$4, Supuestos!$E$3:$G$3, 0))</f>
        <v/>
      </c>
      <c r="C8" s="46">
        <f>INDEX(Supuestos!$E$4:$G$31, MATCH($F8, Supuestos!$A$4:$A$31, 0), MATCH(C$4, Supuestos!$E$3:$G$3, 0))</f>
        <v/>
      </c>
      <c r="D8" s="46">
        <f>INDEX(Supuestos!$E$4:$G$31, MATCH($F8, Supuestos!$A$4:$A$31, 0), MATCH(D$4, Supuestos!$E$3:$G$3, 0))</f>
        <v/>
      </c>
      <c r="E8" s="30" t="inlineStr">
        <is>
          <t>€</t>
        </is>
      </c>
      <c r="F8" s="20" t="inlineStr">
        <is>
          <t>C04</t>
        </is>
      </c>
      <c r="G8" s="15">
        <f>IF($F8="","Derivado (fórmula)","Ver Supuestos (ID "&amp;$F8&amp;")")</f>
        <v/>
      </c>
      <c r="H8" s="15" t="inlineStr"/>
    </row>
    <row r="9" ht="18" customHeight="1">
      <c r="A9" s="32" t="inlineStr">
        <is>
          <t>CAPEX — Gestión del cambio/formación</t>
        </is>
      </c>
      <c r="B9" s="46">
        <f>INDEX(Supuestos!$E$4:$G$31, MATCH($F9, Supuestos!$A$4:$A$31, 0), MATCH(B$4, Supuestos!$E$3:$G$3, 0))</f>
        <v/>
      </c>
      <c r="C9" s="46">
        <f>INDEX(Supuestos!$E$4:$G$31, MATCH($F9, Supuestos!$A$4:$A$31, 0), MATCH(C$4, Supuestos!$E$3:$G$3, 0))</f>
        <v/>
      </c>
      <c r="D9" s="46">
        <f>INDEX(Supuestos!$E$4:$G$31, MATCH($F9, Supuestos!$A$4:$A$31, 0), MATCH(D$4, Supuestos!$E$3:$G$3, 0))</f>
        <v/>
      </c>
      <c r="E9" s="30" t="inlineStr">
        <is>
          <t>€</t>
        </is>
      </c>
      <c r="F9" s="20" t="inlineStr">
        <is>
          <t>C05</t>
        </is>
      </c>
      <c r="G9" s="15">
        <f>IF($F9="","Derivado (fórmula)","Ver Supuestos (ID "&amp;$F9&amp;")")</f>
        <v/>
      </c>
      <c r="H9" s="15" t="inlineStr"/>
    </row>
    <row r="10" ht="18" customHeight="1">
      <c r="A10" s="32" t="inlineStr">
        <is>
          <t>Subtotal CAPEX (sin contingencia)</t>
        </is>
      </c>
      <c r="B10" s="51">
        <f>SUM(B5:B9)</f>
        <v/>
      </c>
      <c r="C10" s="51">
        <f>SUM(C5:C9)</f>
        <v/>
      </c>
      <c r="D10" s="51">
        <f>SUM(D5:D9)</f>
        <v/>
      </c>
      <c r="E10" s="30" t="inlineStr">
        <is>
          <t>€</t>
        </is>
      </c>
      <c r="F10" s="30" t="inlineStr"/>
      <c r="G10" s="15">
        <f>IF($F10="","Derivado (fórmula)","Ver Supuestos (ID "&amp;$F10&amp;")")</f>
        <v/>
      </c>
      <c r="H10" s="15" t="inlineStr"/>
    </row>
    <row r="11" ht="18" customHeight="1">
      <c r="A11" s="32" t="inlineStr">
        <is>
          <t>Contingencia CAPEX</t>
        </is>
      </c>
      <c r="B11" s="48">
        <f>INDEX(Supuestos!$E$4:$G$31, MATCH($F11, Supuestos!$A$4:$A$31, 0), MATCH(B$4, Supuestos!$E$3:$G$3, 0))</f>
        <v/>
      </c>
      <c r="C11" s="48">
        <f>INDEX(Supuestos!$E$4:$G$31, MATCH($F11, Supuestos!$A$4:$A$31, 0), MATCH(C$4, Supuestos!$E$3:$G$3, 0))</f>
        <v/>
      </c>
      <c r="D11" s="48">
        <f>INDEX(Supuestos!$E$4:$G$31, MATCH($F11, Supuestos!$A$4:$A$31, 0), MATCH(D$4, Supuestos!$E$3:$G$3, 0))</f>
        <v/>
      </c>
      <c r="E11" s="30" t="inlineStr">
        <is>
          <t>%</t>
        </is>
      </c>
      <c r="F11" s="20" t="inlineStr">
        <is>
          <t>C06</t>
        </is>
      </c>
      <c r="G11" s="15">
        <f>IF($F11="","Derivado (fórmula)","Ver Supuestos (ID "&amp;$F11&amp;")")</f>
        <v/>
      </c>
      <c r="H11" s="15" t="inlineStr"/>
    </row>
    <row r="12" ht="18" customHeight="1">
      <c r="A12" s="9" t="inlineStr">
        <is>
          <t>Contingencia (€)</t>
        </is>
      </c>
      <c r="B12" s="51">
        <f>B10*B11/100</f>
        <v/>
      </c>
      <c r="C12" s="51">
        <f>C10*C11/100</f>
        <v/>
      </c>
      <c r="D12" s="51">
        <f>D10*D11/100</f>
        <v/>
      </c>
      <c r="E12" s="30" t="inlineStr">
        <is>
          <t>€</t>
        </is>
      </c>
      <c r="F12" s="30" t="inlineStr"/>
      <c r="G12" s="15">
        <f>IF($F12="","Derivado (fórmula)","Ver Supuestos (ID "&amp;$F12&amp;")")</f>
        <v/>
      </c>
      <c r="H12" s="15" t="inlineStr"/>
    </row>
    <row r="13" ht="18" customHeight="1">
      <c r="A13" s="32" t="inlineStr">
        <is>
          <t>CAPEX total</t>
        </is>
      </c>
      <c r="B13" s="51">
        <f>B10+B12</f>
        <v/>
      </c>
      <c r="C13" s="51">
        <f>C10+C12</f>
        <v/>
      </c>
      <c r="D13" s="51">
        <f>D10+D12</f>
        <v/>
      </c>
      <c r="E13" s="30" t="inlineStr">
        <is>
          <t>€</t>
        </is>
      </c>
      <c r="F13" s="30" t="inlineStr"/>
      <c r="G13" s="15">
        <f>IF($F13="","Derivado (fórmula)","Ver Supuestos (ID "&amp;$F13&amp;")")</f>
        <v/>
      </c>
      <c r="H13" s="15" t="inlineStr"/>
    </row>
    <row r="14" ht="18" customHeight="1"/>
    <row r="15" ht="18" customHeight="1"/>
    <row r="16" ht="20" customHeight="1">
      <c r="A16" s="41" t="inlineStr">
        <is>
          <t>OPEX anual</t>
        </is>
      </c>
    </row>
    <row r="17" ht="18" customHeight="1">
      <c r="A17" s="9" t="inlineStr">
        <is>
          <t>OPEX — Mantenimiento PAT</t>
        </is>
      </c>
      <c r="B17" s="46">
        <f>INDEX(Supuestos!$E$4:$G$31, MATCH($F17, Supuestos!$A$4:$A$31, 0), MATCH(B$4, Supuestos!$E$3:$G$3, 0))</f>
        <v/>
      </c>
      <c r="C17" s="46">
        <f>INDEX(Supuestos!$E$4:$G$31, MATCH($F17, Supuestos!$A$4:$A$31, 0), MATCH(C$4, Supuestos!$E$3:$G$3, 0))</f>
        <v/>
      </c>
      <c r="D17" s="46">
        <f>INDEX(Supuestos!$E$4:$G$31, MATCH($F17, Supuestos!$A$4:$A$31, 0), MATCH(D$4, Supuestos!$E$3:$G$3, 0))</f>
        <v/>
      </c>
      <c r="E17" s="30" t="inlineStr">
        <is>
          <t>€/año</t>
        </is>
      </c>
      <c r="F17" s="20" t="inlineStr">
        <is>
          <t>O01</t>
        </is>
      </c>
      <c r="G17" s="15">
        <f>IF($F17="","Derivado (fórmula)","Ver Supuestos (ID "&amp;$F17&amp;")")</f>
        <v/>
      </c>
      <c r="H17" s="15" t="inlineStr"/>
    </row>
    <row r="18" ht="18" customHeight="1">
      <c r="A18" s="9" t="inlineStr">
        <is>
          <t>OPEX — Soporte MLOps/analítica</t>
        </is>
      </c>
      <c r="B18" s="46">
        <f>INDEX(Supuestos!$E$4:$G$31, MATCH($F18, Supuestos!$A$4:$A$31, 0), MATCH(B$4, Supuestos!$E$3:$G$3, 0))</f>
        <v/>
      </c>
      <c r="C18" s="46">
        <f>INDEX(Supuestos!$E$4:$G$31, MATCH($F18, Supuestos!$A$4:$A$31, 0), MATCH(C$4, Supuestos!$E$3:$G$3, 0))</f>
        <v/>
      </c>
      <c r="D18" s="46">
        <f>INDEX(Supuestos!$E$4:$G$31, MATCH($F18, Supuestos!$A$4:$A$31, 0), MATCH(D$4, Supuestos!$E$3:$G$3, 0))</f>
        <v/>
      </c>
      <c r="E18" s="30" t="inlineStr">
        <is>
          <t>€/año</t>
        </is>
      </c>
      <c r="F18" s="20" t="inlineStr">
        <is>
          <t>O02</t>
        </is>
      </c>
      <c r="G18" s="15">
        <f>IF($F18="","Derivado (fórmula)","Ver Supuestos (ID "&amp;$F18&amp;")")</f>
        <v/>
      </c>
      <c r="H18" s="15" t="inlineStr"/>
    </row>
    <row r="19" ht="18" customHeight="1">
      <c r="A19" s="9" t="inlineStr">
        <is>
          <t>OPEX — Operación cibersegura</t>
        </is>
      </c>
      <c r="B19" s="46">
        <f>INDEX(Supuestos!$E$4:$G$31, MATCH($F19, Supuestos!$A$4:$A$31, 0), MATCH(B$4, Supuestos!$E$3:$G$3, 0))</f>
        <v/>
      </c>
      <c r="C19" s="46">
        <f>INDEX(Supuestos!$E$4:$G$31, MATCH($F19, Supuestos!$A$4:$A$31, 0), MATCH(C$4, Supuestos!$E$3:$G$3, 0))</f>
        <v/>
      </c>
      <c r="D19" s="46">
        <f>INDEX(Supuestos!$E$4:$G$31, MATCH($F19, Supuestos!$A$4:$A$31, 0), MATCH(D$4, Supuestos!$E$3:$G$3, 0))</f>
        <v/>
      </c>
      <c r="E19" s="30" t="inlineStr">
        <is>
          <t>€/año</t>
        </is>
      </c>
      <c r="F19" s="20" t="inlineStr">
        <is>
          <t>O03</t>
        </is>
      </c>
      <c r="G19" s="15">
        <f>IF($F19="","Derivado (fórmula)","Ver Supuestos (ID "&amp;$F19&amp;")")</f>
        <v/>
      </c>
      <c r="H19" s="15" t="inlineStr"/>
    </row>
    <row r="20" ht="18" customHeight="1">
      <c r="A20" s="9" t="inlineStr">
        <is>
          <t>OPEX — Infraestructura IT</t>
        </is>
      </c>
      <c r="B20" s="46">
        <f>INDEX(Supuestos!$E$4:$G$31, MATCH($F20, Supuestos!$A$4:$A$31, 0), MATCH(B$4, Supuestos!$E$3:$G$3, 0))</f>
        <v/>
      </c>
      <c r="C20" s="46">
        <f>INDEX(Supuestos!$E$4:$G$31, MATCH($F20, Supuestos!$A$4:$A$31, 0), MATCH(C$4, Supuestos!$E$3:$G$3, 0))</f>
        <v/>
      </c>
      <c r="D20" s="46">
        <f>INDEX(Supuestos!$E$4:$G$31, MATCH($F20, Supuestos!$A$4:$A$31, 0), MATCH(D$4, Supuestos!$E$3:$G$3, 0))</f>
        <v/>
      </c>
      <c r="E20" s="30" t="inlineStr">
        <is>
          <t>€/año</t>
        </is>
      </c>
      <c r="F20" s="20" t="inlineStr">
        <is>
          <t>O04</t>
        </is>
      </c>
      <c r="G20" s="15">
        <f>IF($F20="","Derivado (fórmula)","Ver Supuestos (ID "&amp;$F20&amp;")")</f>
        <v/>
      </c>
      <c r="H20" s="15" t="inlineStr"/>
    </row>
    <row r="21" ht="18" customHeight="1">
      <c r="A21" s="32" t="inlineStr">
        <is>
          <t>OPEX total anual</t>
        </is>
      </c>
      <c r="B21" s="44">
        <f>SUM(B17:B20)</f>
        <v/>
      </c>
      <c r="C21" s="44">
        <f>SUM(C17:C20)</f>
        <v/>
      </c>
      <c r="D21" s="44">
        <f>SUM(D17:D20)</f>
        <v/>
      </c>
      <c r="E21" s="30" t="inlineStr">
        <is>
          <t>€/año</t>
        </is>
      </c>
      <c r="F21" s="30" t="inlineStr"/>
      <c r="G21" s="15">
        <f>IF($F21="","Derivado (fórmula)","Ver Supuestos (ID "&amp;$F21&amp;")")</f>
        <v/>
      </c>
      <c r="H21" s="15" t="inlineStr"/>
    </row>
  </sheetData>
  <mergeCells count="3">
    <mergeCell ref="A16:H16"/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1" t="inlineStr">
        <is>
          <t>Sensibilidad (±20% en 5 supuestos clave)</t>
        </is>
      </c>
    </row>
    <row r="2" ht="28" customHeight="1">
      <c r="A2" s="2" t="inlineStr">
        <is>
          <t>Se muestra el impacto en NPV (escenario Base) al variar un supuesto a la vez ±20% (ceteris paribus).</t>
        </is>
      </c>
    </row>
    <row r="4">
      <c r="A4" s="41" t="inlineStr">
        <is>
          <t>Inputs (Base) usados para sensibilidad</t>
        </is>
      </c>
    </row>
    <row r="5" ht="22" customHeight="1">
      <c r="A5" s="6" t="inlineStr">
        <is>
          <t>ID</t>
        </is>
      </c>
      <c r="B5" s="6" t="inlineStr">
        <is>
          <t>Parámetro</t>
        </is>
      </c>
      <c r="C5" s="6" t="inlineStr">
        <is>
          <t>Valor Base</t>
        </is>
      </c>
      <c r="D5" s="6" t="inlineStr">
        <is>
          <t>Unidad</t>
        </is>
      </c>
      <c r="E5" s="55" t="inlineStr">
        <is>
          <t>Fuente</t>
        </is>
      </c>
      <c r="F5" s="7" t="n"/>
      <c r="G5" s="7" t="n"/>
      <c r="H5" s="7" t="n"/>
      <c r="I5" s="8" t="n"/>
    </row>
    <row r="6" ht="24" customHeight="1">
      <c r="A6" s="20" t="inlineStr">
        <is>
          <t>P01</t>
        </is>
      </c>
      <c r="B6" s="9" t="inlineStr">
        <is>
          <t>Producción anual impactada</t>
        </is>
      </c>
      <c r="C6" s="18">
        <f>INDEX(Supuestos!$E$4:$G$31, MATCH("P01", Supuestos!$A$4:$A$31, 0), MATCH("Base", Supuestos!$E$3:$G$3, 0))</f>
        <v/>
      </c>
      <c r="D6" s="30" t="inlineStr">
        <is>
          <t>t/año</t>
        </is>
      </c>
      <c r="E6" s="56">
        <f>"Ver Supuestos (ID "&amp;A6&amp;")"</f>
        <v/>
      </c>
      <c r="F6" s="7" t="n"/>
      <c r="G6" s="7" t="n"/>
      <c r="H6" s="7" t="n"/>
      <c r="I6" s="8" t="n"/>
    </row>
    <row r="7" ht="24" customHeight="1">
      <c r="A7" s="20" t="inlineStr">
        <is>
          <t>P02</t>
        </is>
      </c>
      <c r="B7" s="9" t="inlineStr">
        <is>
          <t>Margen por tonelada</t>
        </is>
      </c>
      <c r="C7" s="46">
        <f>INDEX(Supuestos!$E$4:$G$31, MATCH("P02", Supuestos!$A$4:$A$31, 0), MATCH("Base", Supuestos!$E$3:$G$3, 0))</f>
        <v/>
      </c>
      <c r="D7" s="30" t="inlineStr">
        <is>
          <t>€/t</t>
        </is>
      </c>
      <c r="E7" s="56">
        <f>"Ver Supuestos (ID "&amp;A7&amp;")"</f>
        <v/>
      </c>
      <c r="F7" s="7" t="n"/>
      <c r="G7" s="7" t="n"/>
      <c r="H7" s="7" t="n"/>
      <c r="I7" s="8" t="n"/>
    </row>
    <row r="8" ht="24" customHeight="1">
      <c r="A8" s="20" t="inlineStr">
        <is>
          <t>P03</t>
        </is>
      </c>
      <c r="B8" s="9" t="inlineStr">
        <is>
          <t>Mejora throughput/rendimiento</t>
        </is>
      </c>
      <c r="C8" s="48">
        <f>INDEX(Supuestos!$E$4:$G$31, MATCH("P03", Supuestos!$A$4:$A$31, 0), MATCH("Base", Supuestos!$E$3:$G$3, 0))</f>
        <v/>
      </c>
      <c r="D8" s="30" t="inlineStr">
        <is>
          <t>%</t>
        </is>
      </c>
      <c r="E8" s="56">
        <f>"Ver Supuestos (ID "&amp;A8&amp;")"</f>
        <v/>
      </c>
      <c r="F8" s="7" t="n"/>
      <c r="G8" s="7" t="n"/>
      <c r="H8" s="7" t="n"/>
      <c r="I8" s="8" t="n"/>
    </row>
    <row r="9" ht="24" customHeight="1">
      <c r="A9" s="20" t="inlineStr">
        <is>
          <t>E01</t>
        </is>
      </c>
      <c r="B9" s="9" t="inlineStr">
        <is>
          <t>Consumo específico</t>
        </is>
      </c>
      <c r="C9" s="29">
        <f>INDEX(Supuestos!$E$4:$G$31, MATCH("E01", Supuestos!$A$4:$A$31, 0), MATCH("Base", Supuestos!$E$3:$G$3, 0))</f>
        <v/>
      </c>
      <c r="D9" s="30" t="inlineStr">
        <is>
          <t>GJ/t</t>
        </is>
      </c>
      <c r="E9" s="56">
        <f>"Ver Supuestos (ID "&amp;A9&amp;")"</f>
        <v/>
      </c>
      <c r="F9" s="7" t="n"/>
      <c r="G9" s="7" t="n"/>
      <c r="H9" s="7" t="n"/>
      <c r="I9" s="8" t="n"/>
    </row>
    <row r="10" ht="24" customHeight="1">
      <c r="A10" s="20" t="inlineStr">
        <is>
          <t>E02</t>
        </is>
      </c>
      <c r="B10" s="9" t="inlineStr">
        <is>
          <t>Precio energía</t>
        </is>
      </c>
      <c r="C10" s="46">
        <f>INDEX(Supuestos!$E$4:$G$31, MATCH("E02", Supuestos!$A$4:$A$31, 0), MATCH("Base", Supuestos!$E$3:$G$3, 0))</f>
        <v/>
      </c>
      <c r="D10" s="30" t="inlineStr">
        <is>
          <t>€/GJ</t>
        </is>
      </c>
      <c r="E10" s="56">
        <f>"Ver Supuestos (ID "&amp;A10&amp;")"</f>
        <v/>
      </c>
      <c r="F10" s="7" t="n"/>
      <c r="G10" s="7" t="n"/>
      <c r="H10" s="7" t="n"/>
      <c r="I10" s="8" t="n"/>
    </row>
    <row r="11" ht="24" customHeight="1">
      <c r="A11" s="20" t="inlineStr">
        <is>
          <t>E03</t>
        </is>
      </c>
      <c r="B11" s="9" t="inlineStr">
        <is>
          <t>% ahorro energía</t>
        </is>
      </c>
      <c r="C11" s="48">
        <f>INDEX(Supuestos!$E$4:$G$31, MATCH("E03", Supuestos!$A$4:$A$31, 0), MATCH("Base", Supuestos!$E$3:$G$3, 0))</f>
        <v/>
      </c>
      <c r="D11" s="30" t="inlineStr">
        <is>
          <t>%</t>
        </is>
      </c>
      <c r="E11" s="56">
        <f>"Ver Supuestos (ID "&amp;A11&amp;")"</f>
        <v/>
      </c>
      <c r="F11" s="7" t="n"/>
      <c r="G11" s="7" t="n"/>
      <c r="H11" s="7" t="n"/>
      <c r="I11" s="8" t="n"/>
    </row>
    <row r="12" ht="24" customHeight="1">
      <c r="A12" s="20" t="inlineStr">
        <is>
          <t>A01</t>
        </is>
      </c>
      <c r="B12" s="9" t="inlineStr">
        <is>
          <t>Adopción efectiva</t>
        </is>
      </c>
      <c r="C12" s="48">
        <f>INDEX(Supuestos!$E$4:$G$31, MATCH("A01", Supuestos!$A$4:$A$31, 0), MATCH("Base", Supuestos!$E$3:$G$3, 0))</f>
        <v/>
      </c>
      <c r="D12" s="30" t="inlineStr">
        <is>
          <t>%</t>
        </is>
      </c>
      <c r="E12" s="56">
        <f>"Ver Supuestos (ID "&amp;A12&amp;")"</f>
        <v/>
      </c>
      <c r="F12" s="7" t="n"/>
      <c r="G12" s="7" t="n"/>
      <c r="H12" s="7" t="n"/>
      <c r="I12" s="8" t="n"/>
    </row>
    <row r="13" ht="24" customHeight="1">
      <c r="A13" s="20" t="inlineStr">
        <is>
          <t>K00</t>
        </is>
      </c>
      <c r="B13" s="9" t="inlineStr">
        <is>
          <t>Horas por año</t>
        </is>
      </c>
      <c r="C13" s="18">
        <f>INDEX(Supuestos!$E$4:$G$31, MATCH("K00", Supuestos!$A$4:$A$31, 0), MATCH("Base", Supuestos!$E$3:$G$3, 0))</f>
        <v/>
      </c>
      <c r="D13" s="30" t="inlineStr">
        <is>
          <t>h/año</t>
        </is>
      </c>
      <c r="E13" s="56">
        <f>"Ver Supuestos (ID "&amp;A13&amp;")"</f>
        <v/>
      </c>
      <c r="F13" s="7" t="n"/>
      <c r="G13" s="7" t="n"/>
      <c r="H13" s="7" t="n"/>
      <c r="I13" s="8" t="n"/>
    </row>
    <row r="14" ht="24" customHeight="1">
      <c r="A14" s="20" t="inlineStr">
        <is>
          <t>A02</t>
        </is>
      </c>
      <c r="B14" s="9" t="inlineStr">
        <is>
          <t>Downtime anual baseline</t>
        </is>
      </c>
      <c r="C14" s="18">
        <f>INDEX(Supuestos!$E$4:$G$31, MATCH("A02", Supuestos!$A$4:$A$31, 0), MATCH("Base", Supuestos!$E$3:$G$3, 0))</f>
        <v/>
      </c>
      <c r="D14" s="30" t="inlineStr">
        <is>
          <t>h/año</t>
        </is>
      </c>
      <c r="E14" s="56">
        <f>"Ver Supuestos (ID "&amp;A14&amp;")"</f>
        <v/>
      </c>
      <c r="F14" s="7" t="n"/>
      <c r="G14" s="7" t="n"/>
      <c r="H14" s="7" t="n"/>
      <c r="I14" s="8" t="n"/>
    </row>
    <row r="15" ht="24" customHeight="1">
      <c r="A15" s="20" t="inlineStr">
        <is>
          <t>A03</t>
        </is>
      </c>
      <c r="B15" s="9" t="inlineStr">
        <is>
          <t>Reducción downtime</t>
        </is>
      </c>
      <c r="C15" s="48">
        <f>INDEX(Supuestos!$E$4:$G$31, MATCH("A03", Supuestos!$A$4:$A$31, 0), MATCH("Base", Supuestos!$E$3:$G$3, 0))</f>
        <v/>
      </c>
      <c r="D15" s="30" t="inlineStr">
        <is>
          <t>%</t>
        </is>
      </c>
      <c r="E15" s="56">
        <f>"Ver Supuestos (ID "&amp;A15&amp;")"</f>
        <v/>
      </c>
      <c r="F15" s="7" t="n"/>
      <c r="G15" s="7" t="n"/>
      <c r="H15" s="7" t="n"/>
      <c r="I15" s="8" t="n"/>
    </row>
    <row r="16" ht="24" customHeight="1">
      <c r="A16" s="20" t="inlineStr">
        <is>
          <t>Q01</t>
        </is>
      </c>
      <c r="B16" s="9" t="inlineStr">
        <is>
          <t>Tasa scrap/rework base</t>
        </is>
      </c>
      <c r="C16" s="48">
        <f>INDEX(Supuestos!$E$4:$G$31, MATCH("Q01", Supuestos!$A$4:$A$31, 0), MATCH("Base", Supuestos!$E$3:$G$3, 0))</f>
        <v/>
      </c>
      <c r="D16" s="30" t="inlineStr">
        <is>
          <t>%</t>
        </is>
      </c>
      <c r="E16" s="56">
        <f>"Ver Supuestos (ID "&amp;A16&amp;")"</f>
        <v/>
      </c>
      <c r="F16" s="7" t="n"/>
      <c r="G16" s="7" t="n"/>
      <c r="H16" s="7" t="n"/>
      <c r="I16" s="8" t="n"/>
    </row>
    <row r="17" ht="24" customHeight="1">
      <c r="A17" s="20" t="inlineStr">
        <is>
          <t>Q02</t>
        </is>
      </c>
      <c r="B17" s="9" t="inlineStr">
        <is>
          <t>Coste scrap/rework</t>
        </is>
      </c>
      <c r="C17" s="46">
        <f>INDEX(Supuestos!$E$4:$G$31, MATCH("Q02", Supuestos!$A$4:$A$31, 0), MATCH("Base", Supuestos!$E$3:$G$3, 0))</f>
        <v/>
      </c>
      <c r="D17" s="30" t="inlineStr">
        <is>
          <t>€/t</t>
        </is>
      </c>
      <c r="E17" s="56">
        <f>"Ver Supuestos (ID "&amp;A17&amp;")"</f>
        <v/>
      </c>
      <c r="F17" s="7" t="n"/>
      <c r="G17" s="7" t="n"/>
      <c r="H17" s="7" t="n"/>
      <c r="I17" s="8" t="n"/>
    </row>
    <row r="18" ht="24" customHeight="1">
      <c r="A18" s="20" t="inlineStr">
        <is>
          <t>Q03</t>
        </is>
      </c>
      <c r="B18" s="9" t="inlineStr">
        <is>
          <t>Reducción scrap/rework</t>
        </is>
      </c>
      <c r="C18" s="48">
        <f>INDEX(Supuestos!$E$4:$G$31, MATCH("Q03", Supuestos!$A$4:$A$31, 0), MATCH("Base", Supuestos!$E$3:$G$3, 0))</f>
        <v/>
      </c>
      <c r="D18" s="30" t="inlineStr">
        <is>
          <t>%</t>
        </is>
      </c>
      <c r="E18" s="56">
        <f>"Ver Supuestos (ID "&amp;A18&amp;")"</f>
        <v/>
      </c>
      <c r="F18" s="7" t="n"/>
      <c r="G18" s="7" t="n"/>
      <c r="H18" s="7" t="n"/>
      <c r="I18" s="8" t="n"/>
    </row>
    <row r="19" ht="24" customHeight="1">
      <c r="A19" s="20" t="inlineStr">
        <is>
          <t>K03</t>
        </is>
      </c>
      <c r="B19" s="9" t="inlineStr">
        <is>
          <t>Vida económica</t>
        </is>
      </c>
      <c r="C19" s="18">
        <f>INDEX(Supuestos!$E$4:$G$31, MATCH("K03", Supuestos!$A$4:$A$31, 0), MATCH("Base", Supuestos!$E$3:$G$3, 0))</f>
        <v/>
      </c>
      <c r="D19" s="30" t="inlineStr">
        <is>
          <t>años</t>
        </is>
      </c>
      <c r="E19" s="56">
        <f>"Ver Supuestos (ID "&amp;A19&amp;")"</f>
        <v/>
      </c>
      <c r="F19" s="7" t="n"/>
      <c r="G19" s="7" t="n"/>
      <c r="H19" s="7" t="n"/>
      <c r="I19" s="8" t="n"/>
    </row>
    <row r="20" ht="24" customHeight="1">
      <c r="A20" s="20" t="inlineStr">
        <is>
          <t>K04</t>
        </is>
      </c>
      <c r="B20" s="9" t="inlineStr">
        <is>
          <t>Tasa de descuento</t>
        </is>
      </c>
      <c r="C20" s="48">
        <f>INDEX(Supuestos!$E$4:$G$31, MATCH("K04", Supuestos!$A$4:$A$31, 0), MATCH("Base", Supuestos!$E$3:$G$3, 0))</f>
        <v/>
      </c>
      <c r="D20" s="30" t="inlineStr">
        <is>
          <t>%</t>
        </is>
      </c>
      <c r="E20" s="56">
        <f>"Ver Supuestos (ID "&amp;A20&amp;")"</f>
        <v/>
      </c>
      <c r="F20" s="7" t="n"/>
      <c r="G20" s="7" t="n"/>
      <c r="H20" s="7" t="n"/>
      <c r="I20" s="8" t="n"/>
    </row>
    <row r="21" ht="24" customHeight="1">
      <c r="A21" s="20" t="inlineStr">
        <is>
          <t>K01</t>
        </is>
      </c>
      <c r="B21" s="9" t="inlineStr">
        <is>
          <t>Factor bajo</t>
        </is>
      </c>
      <c r="C21" s="48">
        <f>INDEX(Supuestos!$E$4:$G$31, MATCH("K01", Supuestos!$A$4:$A$31, 0), MATCH("Base", Supuestos!$E$3:$G$3, 0))</f>
        <v/>
      </c>
      <c r="D21" s="30" t="inlineStr">
        <is>
          <t>x</t>
        </is>
      </c>
      <c r="E21" s="56">
        <f>"Ver Supuestos (ID "&amp;A21&amp;")"</f>
        <v/>
      </c>
      <c r="F21" s="7" t="n"/>
      <c r="G21" s="7" t="n"/>
      <c r="H21" s="7" t="n"/>
      <c r="I21" s="8" t="n"/>
    </row>
    <row r="22" ht="24" customHeight="1">
      <c r="A22" s="20" t="inlineStr">
        <is>
          <t>K02</t>
        </is>
      </c>
      <c r="B22" s="9" t="inlineStr">
        <is>
          <t>Factor alto</t>
        </is>
      </c>
      <c r="C22" s="48">
        <f>INDEX(Supuestos!$E$4:$G$31, MATCH("K02", Supuestos!$A$4:$A$31, 0), MATCH("Base", Supuestos!$E$3:$G$3, 0))</f>
        <v/>
      </c>
      <c r="D22" s="30" t="inlineStr">
        <is>
          <t>x</t>
        </is>
      </c>
      <c r="E22" s="56">
        <f>"Ver Supuestos (ID "&amp;A22&amp;")"</f>
        <v/>
      </c>
      <c r="F22" s="7" t="n"/>
      <c r="G22" s="7" t="n"/>
      <c r="H22" s="7" t="n"/>
      <c r="I22" s="8" t="n"/>
    </row>
    <row r="24" ht="20" customHeight="1">
      <c r="A24" s="41" t="inlineStr">
        <is>
          <t>Costes Base usados en sensibilidad</t>
        </is>
      </c>
    </row>
    <row r="25" ht="18" customHeight="1">
      <c r="A25" s="6" t="inlineStr">
        <is>
          <t>Elemento</t>
        </is>
      </c>
      <c r="B25" s="6" t="inlineStr">
        <is>
          <t>Valor Base</t>
        </is>
      </c>
      <c r="C25" s="6" t="inlineStr">
        <is>
          <t>Unidad</t>
        </is>
      </c>
      <c r="D25" s="55" t="inlineStr">
        <is>
          <t>Referencia</t>
        </is>
      </c>
      <c r="E25" s="7" t="n"/>
      <c r="F25" s="7" t="n"/>
      <c r="G25" s="7" t="n"/>
      <c r="H25" s="7" t="n"/>
      <c r="I25" s="8" t="n"/>
    </row>
    <row r="26" ht="20" customHeight="1">
      <c r="A26" s="42" t="inlineStr">
        <is>
          <t>CAPEX total</t>
        </is>
      </c>
      <c r="B26" s="53">
        <f>Costes!C13</f>
        <v/>
      </c>
      <c r="C26" s="30" t="inlineStr">
        <is>
          <t>€</t>
        </is>
      </c>
      <c r="D26" s="56">
        <f>"Costes!CAPEX total (Base)"</f>
        <v/>
      </c>
      <c r="E26" s="7" t="n"/>
      <c r="F26" s="7" t="n"/>
      <c r="G26" s="7" t="n"/>
      <c r="H26" s="7" t="n"/>
      <c r="I26" s="8" t="n"/>
    </row>
    <row r="27" ht="20" customHeight="1">
      <c r="A27" s="42" t="inlineStr">
        <is>
          <t>OPEX total anual</t>
        </is>
      </c>
      <c r="B27" s="53">
        <f>Costes!C21</f>
        <v/>
      </c>
      <c r="C27" s="30" t="inlineStr">
        <is>
          <t>€/año</t>
        </is>
      </c>
      <c r="D27" s="56">
        <f>"Costes!OPEX total anual (Base)"</f>
        <v/>
      </c>
      <c r="E27" s="7" t="n"/>
      <c r="F27" s="7" t="n"/>
      <c r="G27" s="7" t="n"/>
      <c r="H27" s="7" t="n"/>
      <c r="I27" s="8" t="n"/>
    </row>
    <row r="28" ht="20" customHeight="1">
      <c r="A28" s="42" t="inlineStr">
        <is>
          <t>NPV Base</t>
        </is>
      </c>
      <c r="B28" s="53">
        <f>Resumen!C30</f>
        <v/>
      </c>
      <c r="C28" s="30" t="inlineStr">
        <is>
          <t>€</t>
        </is>
      </c>
      <c r="D28" s="56">
        <f>"Resumen!NPV (Base)"</f>
        <v/>
      </c>
      <c r="E28" s="7" t="n"/>
      <c r="F28" s="7" t="n"/>
      <c r="G28" s="7" t="n"/>
      <c r="H28" s="7" t="n"/>
      <c r="I28" s="8" t="n"/>
    </row>
    <row r="30" ht="20" customHeight="1">
      <c r="A30" s="13" t="inlineStr">
        <is>
          <t>Tabla de sensibilidad (NPV)</t>
        </is>
      </c>
    </row>
    <row r="31" ht="20" customHeight="1">
      <c r="A31" s="6" t="inlineStr">
        <is>
          <t>Supuesto</t>
        </is>
      </c>
      <c r="B31" s="6" t="inlineStr">
        <is>
          <t>ID</t>
        </is>
      </c>
      <c r="C31" s="6" t="inlineStr">
        <is>
          <t>Base</t>
        </is>
      </c>
      <c r="D31" s="6" t="inlineStr">
        <is>
          <t>Bajo (-20%)</t>
        </is>
      </c>
      <c r="E31" s="6" t="inlineStr">
        <is>
          <t>Alto (+20%)</t>
        </is>
      </c>
      <c r="F31" s="6" t="inlineStr">
        <is>
          <t>NPV Base</t>
        </is>
      </c>
      <c r="G31" s="6" t="inlineStr">
        <is>
          <t>NPV Bajo</t>
        </is>
      </c>
      <c r="H31" s="6" t="inlineStr">
        <is>
          <t>NPV Alto</t>
        </is>
      </c>
      <c r="I31" s="6" t="inlineStr">
        <is>
          <t>ΔNPV (alto-bajo)</t>
        </is>
      </c>
    </row>
    <row r="32" ht="18" customHeight="1">
      <c r="A32" s="9" t="inlineStr">
        <is>
          <t>Producción anual impactada</t>
        </is>
      </c>
      <c r="B32" s="20" t="inlineStr">
        <is>
          <t>P01</t>
        </is>
      </c>
      <c r="C32" s="18">
        <f>$C$6</f>
        <v/>
      </c>
      <c r="D32" s="43">
        <f>($C$6*$C$21)</f>
        <v/>
      </c>
      <c r="E32" s="43">
        <f>($C$6*$C$22)</f>
        <v/>
      </c>
      <c r="F32" s="46">
        <f>$B$28</f>
        <v/>
      </c>
      <c r="G32" s="44">
        <f>=-($B$26)+IF($C$20=0,((((($C$6*$C$21)*$C$9*$C$10*$C$11/100*$C$12/100)+(($C$6*$C$21)*$C$16/100*$C$17*$C$18/100)+((($C$6*$C$21)/$C$13*$C$14)*$C$7*$C$15/100)+(($C$6*$C$21)*$C$8/100*$C$7*$C$12/100))-$B$27))*$C$19,((((($C$6*$C$21)*$C$9*$C$10*$C$11/100*$C$12/100)+(($C$6*$C$21)*$C$16/100*$C$17*$C$18/100)+((($C$6*$C$21)/$C$13*$C$14)*$C$7*$C$15/100)+(($C$6*$C$21)*$C$8/100*$C$7*$C$12/100))-$B$27))*(1-(1+$C$20/100)^(-$C$19))/($C$20/100))</f>
        <v/>
      </c>
      <c r="H32" s="44">
        <f>=-($B$26)+IF($C$20=0,((((($C$6*$C$22)*$C$9*$C$10*$C$11/100*$C$12/100)+(($C$6*$C$22)*$C$16/100*$C$17*$C$18/100)+((($C$6*$C$22)/$C$13*$C$14)*$C$7*$C$15/100)+(($C$6*$C$22)*$C$8/100*$C$7*$C$12/100))-$B$27))*$C$19,((((($C$6*$C$22)*$C$9*$C$10*$C$11/100*$C$12/100)+(($C$6*$C$22)*$C$16/100*$C$17*$C$18/100)+((($C$6*$C$22)/$C$13*$C$14)*$C$7*$C$15/100)+(($C$6*$C$22)*$C$8/100*$C$7*$C$12/100))-$B$27))*(1-(1+$C$20/100)^(-$C$19))/($C$20/100))</f>
        <v/>
      </c>
      <c r="I32" s="44">
        <f>H32-G32</f>
        <v/>
      </c>
    </row>
    <row r="33" ht="18" customHeight="1">
      <c r="A33" s="9" t="inlineStr">
        <is>
          <t>Precio energía promedio</t>
        </is>
      </c>
      <c r="B33" s="20" t="inlineStr">
        <is>
          <t>E02</t>
        </is>
      </c>
      <c r="C33" s="46">
        <f>$C$10</f>
        <v/>
      </c>
      <c r="D33" s="51">
        <f>($C$10*$C$21)</f>
        <v/>
      </c>
      <c r="E33" s="51">
        <f>($C$10*$C$22)</f>
        <v/>
      </c>
      <c r="F33" s="46">
        <f>$B$28</f>
        <v/>
      </c>
      <c r="G33" s="44">
        <f>=-($B$26)+IF($C$20=0,(((($C$6*$C$9*($C$10*$C$21)*$C$11/100*$C$12/100)+($C$6*$C$16/100*$C$17*$C$18/100)+(($C$6/$C$13*$C$14)*$C$7*$C$15/100)+($C$6*$C$8/100*$C$7*$C$12/100))-$B$27))*$C$19,(((($C$6*$C$9*($C$10*$C$21)*$C$11/100*$C$12/100)+($C$6*$C$16/100*$C$17*$C$18/100)+(($C$6/$C$13*$C$14)*$C$7*$C$15/100)+($C$6*$C$8/100*$C$7*$C$12/100))-$B$27))*(1-(1+$C$20/100)^(-$C$19))/($C$20/100))</f>
        <v/>
      </c>
      <c r="H33" s="44">
        <f>=-($B$26)+IF($C$20=0,(((($C$6*$C$9*($C$10*$C$22)*$C$11/100*$C$12/100)+($C$6*$C$16/100*$C$17*$C$18/100)+(($C$6/$C$13*$C$14)*$C$7*$C$15/100)+($C$6*$C$8/100*$C$7*$C$12/100))-$B$27))*$C$19,(((($C$6*$C$9*($C$10*$C$22)*$C$11/100*$C$12/100)+($C$6*$C$16/100*$C$17*$C$18/100)+(($C$6/$C$13*$C$14)*$C$7*$C$15/100)+($C$6*$C$8/100*$C$7*$C$12/100))-$B$27))*(1-(1+$C$20/100)^(-$C$19))/($C$20/100))</f>
        <v/>
      </c>
      <c r="I33" s="44">
        <f>H33-G33</f>
        <v/>
      </c>
    </row>
    <row r="34" ht="18" customHeight="1">
      <c r="A34" s="9" t="inlineStr">
        <is>
          <t>% ahorro energía por optimización</t>
        </is>
      </c>
      <c r="B34" s="20" t="inlineStr">
        <is>
          <t>E03</t>
        </is>
      </c>
      <c r="C34" s="48">
        <f>$C$11</f>
        <v/>
      </c>
      <c r="D34" s="47">
        <f>($C$11*$C$21)</f>
        <v/>
      </c>
      <c r="E34" s="47">
        <f>($C$11*$C$22)</f>
        <v/>
      </c>
      <c r="F34" s="46">
        <f>$B$28</f>
        <v/>
      </c>
      <c r="G34" s="44">
        <f>=-($B$26)+IF($C$20=0,(((($C$6*$C$9*$C$10*($C$11*$C$21)/100*$C$12/100)+($C$6*$C$16/100*$C$17*$C$18/100)+(($C$6/$C$13*$C$14)*$C$7*$C$15/100)+($C$6*$C$8/100*$C$7*$C$12/100))-$B$27))*$C$19,(((($C$6*$C$9*$C$10*($C$11*$C$21)/100*$C$12/100)+($C$6*$C$16/100*$C$17*$C$18/100)+(($C$6/$C$13*$C$14)*$C$7*$C$15/100)+($C$6*$C$8/100*$C$7*$C$12/100))-$B$27))*(1-(1+$C$20/100)^(-$C$19))/($C$20/100))</f>
        <v/>
      </c>
      <c r="H34" s="44">
        <f>=-($B$26)+IF($C$20=0,(((($C$6*$C$9*$C$10*($C$11*$C$22)/100*$C$12/100)+($C$6*$C$16/100*$C$17*$C$18/100)+(($C$6/$C$13*$C$14)*$C$7*$C$15/100)+($C$6*$C$8/100*$C$7*$C$12/100))-$B$27))*$C$19,(((($C$6*$C$9*$C$10*($C$11*$C$22)/100*$C$12/100)+($C$6*$C$16/100*$C$17*$C$18/100)+(($C$6/$C$13*$C$14)*$C$7*$C$15/100)+($C$6*$C$8/100*$C$7*$C$12/100))-$B$27))*(1-(1+$C$20/100)^(-$C$19))/($C$20/100))</f>
        <v/>
      </c>
      <c r="I34" s="44">
        <f>H34-G34</f>
        <v/>
      </c>
    </row>
    <row r="35" ht="18" customHeight="1">
      <c r="A35" s="9" t="inlineStr">
        <is>
          <t>Reducción scrap/rework por ACQC</t>
        </is>
      </c>
      <c r="B35" s="20" t="inlineStr">
        <is>
          <t>Q03</t>
        </is>
      </c>
      <c r="C35" s="48">
        <f>$C$18</f>
        <v/>
      </c>
      <c r="D35" s="47">
        <f>($C$18*$C$21)</f>
        <v/>
      </c>
      <c r="E35" s="47">
        <f>($C$18*$C$22)</f>
        <v/>
      </c>
      <c r="F35" s="46">
        <f>$B$28</f>
        <v/>
      </c>
      <c r="G35" s="44">
        <f>=-($B$26)+IF($C$20=0,(((($C$6*$C$9*$C$10*$C$11/100*$C$12/100)+($C$6*$C$16/100*$C$17*($C$18*$C$21)/100)+(($C$6/$C$13*$C$14)*$C$7*$C$15/100)+($C$6*$C$8/100*$C$7*$C$12/100))-$B$27))*$C$19,(((($C$6*$C$9*$C$10*$C$11/100*$C$12/100)+($C$6*$C$16/100*$C$17*($C$18*$C$21)/100)+(($C$6/$C$13*$C$14)*$C$7*$C$15/100)+($C$6*$C$8/100*$C$7*$C$12/100))-$B$27))*(1-(1+$C$20/100)^(-$C$19))/($C$20/100))</f>
        <v/>
      </c>
      <c r="H35" s="44">
        <f>=-($B$26)+IF($C$20=0,(((($C$6*$C$9*$C$10*$C$11/100*$C$12/100)+($C$6*$C$16/100*$C$17*($C$18*$C$22)/100)+(($C$6/$C$13*$C$14)*$C$7*$C$15/100)+($C$6*$C$8/100*$C$7*$C$12/100))-$B$27))*$C$19,(((($C$6*$C$9*$C$10*$C$11/100*$C$12/100)+($C$6*$C$16/100*$C$17*($C$18*$C$22)/100)+(($C$6/$C$13*$C$14)*$C$7*$C$15/100)+($C$6*$C$8/100*$C$7*$C$12/100))-$B$27))*(1-(1+$C$20/100)^(-$C$19))/($C$20/100))</f>
        <v/>
      </c>
      <c r="I35" s="44">
        <f>H35-G35</f>
        <v/>
      </c>
    </row>
    <row r="36" ht="18" customHeight="1">
      <c r="A36" s="9" t="inlineStr">
        <is>
          <t>CAPEX total</t>
        </is>
      </c>
      <c r="B36" s="20" t="inlineStr">
        <is>
          <t>CAPEX</t>
        </is>
      </c>
      <c r="C36" s="53">
        <f>$B$26</f>
        <v/>
      </c>
      <c r="D36" s="53">
        <f>($B$26*$C$21)</f>
        <v/>
      </c>
      <c r="E36" s="53">
        <f>($B$26*$C$22)</f>
        <v/>
      </c>
      <c r="F36" s="46">
        <f>$B$28</f>
        <v/>
      </c>
      <c r="G36" s="44">
        <f>=-(($B$26*$C$21))+IF($C$20=0,(((($C$6*$C$9*$C$10*$C$11/100*$C$12/100)+($C$6*$C$16/100*$C$17*$C$18/100)+(($C$6/$C$13*$C$14)*$C$7*$C$15/100)+($C$6*$C$8/100*$C$7*$C$12/100))-$B$27))*$C$19,(((($C$6*$C$9*$C$10*$C$11/100*$C$12/100)+($C$6*$C$16/100*$C$17*$C$18/100)+(($C$6/$C$13*$C$14)*$C$7*$C$15/100)+($C$6*$C$8/100*$C$7*$C$12/100))-$B$27))*(1-(1+$C$20/100)^(-$C$19))/($C$20/100))</f>
        <v/>
      </c>
      <c r="H36" s="44">
        <f>=-(($B$26*$C$22))+IF($C$20=0,(((($C$6*$C$9*$C$10*$C$11/100*$C$12/100)+($C$6*$C$16/100*$C$17*$C$18/100)+(($C$6/$C$13*$C$14)*$C$7*$C$15/100)+($C$6*$C$8/100*$C$7*$C$12/100))-$B$27))*$C$19,(((($C$6*$C$9*$C$10*$C$11/100*$C$12/100)+($C$6*$C$16/100*$C$17*$C$18/100)+(($C$6/$C$13*$C$14)*$C$7*$C$15/100)+($C$6*$C$8/100*$C$7*$C$12/100))-$B$27))*(1-(1+$C$20/100)^(-$C$19))/($C$20/100))</f>
        <v/>
      </c>
      <c r="I36" s="44">
        <f>H36-G36</f>
        <v/>
      </c>
    </row>
  </sheetData>
  <mergeCells count="27">
    <mergeCell ref="E21:I21"/>
    <mergeCell ref="D27:I27"/>
    <mergeCell ref="E12:I12"/>
    <mergeCell ref="E5:I5"/>
    <mergeCell ref="E14:I14"/>
    <mergeCell ref="E8:I8"/>
    <mergeCell ref="E17:I17"/>
    <mergeCell ref="A2:I2"/>
    <mergeCell ref="E20:I20"/>
    <mergeCell ref="D28:I28"/>
    <mergeCell ref="E10:I10"/>
    <mergeCell ref="E13:I13"/>
    <mergeCell ref="E19:I19"/>
    <mergeCell ref="A4:I4"/>
    <mergeCell ref="D25:I25"/>
    <mergeCell ref="E9:I9"/>
    <mergeCell ref="E15:I15"/>
    <mergeCell ref="E6:I6"/>
    <mergeCell ref="E11:I11"/>
    <mergeCell ref="D26:I26"/>
    <mergeCell ref="A24:I24"/>
    <mergeCell ref="A30:I30"/>
    <mergeCell ref="E7:I7"/>
    <mergeCell ref="E16:I16"/>
    <mergeCell ref="A1:I1"/>
    <mergeCell ref="E22:I22"/>
    <mergeCell ref="E18:I18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20" customWidth="1" min="4" max="4"/>
    <col width="22" customWidth="1" min="5" max="5"/>
    <col width="46" customWidth="1" min="6" max="6"/>
    <col width="18" customWidth="1" min="7" max="7"/>
    <col width="14" customWidth="1" min="8" max="8"/>
    <col width="36" customWidth="1" min="9" max="9"/>
  </cols>
  <sheetData>
    <row r="1" ht="28" customHeight="1">
      <c r="A1" s="1" t="inlineStr">
        <is>
          <t>Trazabilidad de supuestos (fuentes y pendientes)</t>
        </is>
      </c>
    </row>
    <row r="2" ht="34" customHeight="1">
      <c r="A2" s="2" t="inlineStr">
        <is>
          <t>Cada supuesto/entrada numérica debe trazar a: documento ACQC, entrevista, histórico o cotización. Completar columnas 'Sección' y 'Evidencia' durante el piloto.</t>
        </is>
      </c>
    </row>
    <row r="3" ht="22" customHeight="1">
      <c r="A3" s="6" t="inlineStr">
        <is>
          <t>ID</t>
        </is>
      </c>
      <c r="B3" s="6" t="inlineStr">
        <is>
          <t>Parámetro</t>
        </is>
      </c>
      <c r="C3" s="6" t="inlineStr">
        <is>
          <t>Tipo</t>
        </is>
      </c>
      <c r="D3" s="6" t="inlineStr">
        <is>
          <t>Documento</t>
        </is>
      </c>
      <c r="E3" s="6" t="inlineStr">
        <is>
          <t>Sección</t>
        </is>
      </c>
      <c r="F3" s="6" t="inlineStr">
        <is>
          <t>Evidencia</t>
        </is>
      </c>
      <c r="G3" s="6" t="inlineStr">
        <is>
          <t>Owner</t>
        </is>
      </c>
      <c r="H3" s="6" t="inlineStr">
        <is>
          <t>Estado</t>
        </is>
      </c>
      <c r="I3" s="6" t="inlineStr">
        <is>
          <t>URL/Referencia</t>
        </is>
      </c>
    </row>
    <row r="4" ht="48" customHeight="1">
      <c r="A4" s="20" t="inlineStr">
        <is>
          <t>K00</t>
        </is>
      </c>
      <c r="B4" s="57" t="inlineStr">
        <is>
          <t>Horas por año</t>
        </is>
      </c>
      <c r="C4" s="58" t="inlineStr">
        <is>
          <t>SUPUESTO</t>
        </is>
      </c>
      <c r="D4" s="57" t="inlineStr">
        <is>
          <t>—</t>
        </is>
      </c>
      <c r="E4" s="57" t="inlineStr">
        <is>
          <t>—</t>
        </is>
      </c>
      <c r="F4" s="57" t="inlineStr">
        <is>
          <t>Constante de calendario (sin año específico). | Recolectar evidencia: entrevistas + historian + LIMS + compras.</t>
        </is>
      </c>
      <c r="G4" s="57" t="inlineStr">
        <is>
          <t>TFM</t>
        </is>
      </c>
      <c r="H4" s="58" t="inlineStr">
        <is>
          <t>PENDIENTE</t>
        </is>
      </c>
      <c r="I4" s="59" t="inlineStr">
        <is>
          <t>https://github.com/tangodelta217/ACQC</t>
        </is>
      </c>
    </row>
    <row r="5" ht="48" customHeight="1">
      <c r="A5" s="20" t="inlineStr">
        <is>
          <t>K01</t>
        </is>
      </c>
      <c r="B5" s="57" t="inlineStr">
        <is>
          <t>Factor sensibilidad (bajo)</t>
        </is>
      </c>
      <c r="C5" s="58" t="inlineStr">
        <is>
          <t>SUPUESTO</t>
        </is>
      </c>
      <c r="D5" s="57" t="inlineStr">
        <is>
          <t>—</t>
        </is>
      </c>
      <c r="E5" s="57" t="inlineStr">
        <is>
          <t>—</t>
        </is>
      </c>
      <c r="F5" s="57" t="inlineStr">
        <is>
          <t>Definición interna: ±20% (bajo). | Recolectar evidencia: entrevistas + historian + LIMS + compras.</t>
        </is>
      </c>
      <c r="G5" s="57" t="inlineStr">
        <is>
          <t>TFM</t>
        </is>
      </c>
      <c r="H5" s="58" t="inlineStr">
        <is>
          <t>PENDIENTE</t>
        </is>
      </c>
      <c r="I5" s="59" t="inlineStr">
        <is>
          <t>https://github.com/tangodelta217/ACQC</t>
        </is>
      </c>
    </row>
    <row r="6" ht="48" customHeight="1">
      <c r="A6" s="20" t="inlineStr">
        <is>
          <t>K02</t>
        </is>
      </c>
      <c r="B6" s="57" t="inlineStr">
        <is>
          <t>Factor sensibilidad (alto)</t>
        </is>
      </c>
      <c r="C6" s="58" t="inlineStr">
        <is>
          <t>SUPUESTO</t>
        </is>
      </c>
      <c r="D6" s="57" t="inlineStr">
        <is>
          <t>—</t>
        </is>
      </c>
      <c r="E6" s="57" t="inlineStr">
        <is>
          <t>—</t>
        </is>
      </c>
      <c r="F6" s="57" t="inlineStr">
        <is>
          <t>Definición interna: ±20% (alto). | Recolectar evidencia: entrevistas + historian + LIMS + compras.</t>
        </is>
      </c>
      <c r="G6" s="57" t="inlineStr">
        <is>
          <t>TFM</t>
        </is>
      </c>
      <c r="H6" s="58" t="inlineStr">
        <is>
          <t>PENDIENTE</t>
        </is>
      </c>
      <c r="I6" s="59" t="inlineStr">
        <is>
          <t>https://github.com/tangodelta217/ACQC</t>
        </is>
      </c>
    </row>
    <row r="7" ht="63" customHeight="1">
      <c r="A7" s="20" t="inlineStr">
        <is>
          <t>K03</t>
        </is>
      </c>
      <c r="B7" s="57" t="inlineStr">
        <is>
          <t>Vida económica del caso</t>
        </is>
      </c>
      <c r="C7" s="58" t="inlineStr">
        <is>
          <t>SUPUESTO</t>
        </is>
      </c>
      <c r="D7" s="57" t="inlineStr">
        <is>
          <t>—</t>
        </is>
      </c>
      <c r="E7" s="57" t="inlineStr">
        <is>
          <t>—</t>
        </is>
      </c>
      <c r="F7" s="57" t="inlineStr">
        <is>
          <t>Supuesto estándar para pilotos industriales; ajustar a política financiera. | Recolectar evidencia: entrevistas + historian + LIMS + compras.</t>
        </is>
      </c>
      <c r="G7" s="57" t="inlineStr">
        <is>
          <t>Finanzas</t>
        </is>
      </c>
      <c r="H7" s="58" t="inlineStr">
        <is>
          <t>PENDIENTE</t>
        </is>
      </c>
      <c r="I7" s="59" t="inlineStr">
        <is>
          <t>https://github.com/tangodelta217/ACQC</t>
        </is>
      </c>
    </row>
    <row r="8" ht="48" customHeight="1">
      <c r="A8" s="20" t="inlineStr">
        <is>
          <t>K04</t>
        </is>
      </c>
      <c r="B8" s="57" t="inlineStr">
        <is>
          <t>Tasa de descuento (WACC/CoC)</t>
        </is>
      </c>
      <c r="C8" s="58" t="inlineStr">
        <is>
          <t>SUPUESTO</t>
        </is>
      </c>
      <c r="D8" s="57" t="inlineStr">
        <is>
          <t>—</t>
        </is>
      </c>
      <c r="E8" s="57" t="inlineStr">
        <is>
          <t>—</t>
        </is>
      </c>
      <c r="F8" s="57" t="inlineStr">
        <is>
          <t>Supuesto inicial; reemplazar por tasa corporativa. | Recolectar evidencia: entrevistas + historian + LIMS + compras.</t>
        </is>
      </c>
      <c r="G8" s="57" t="inlineStr">
        <is>
          <t>Finanzas</t>
        </is>
      </c>
      <c r="H8" s="58" t="inlineStr">
        <is>
          <t>PENDIENTE</t>
        </is>
      </c>
      <c r="I8" s="59" t="inlineStr">
        <is>
          <t>https://github.com/tangodelta217/ACQC</t>
        </is>
      </c>
    </row>
    <row r="9" ht="48" customHeight="1">
      <c r="A9" s="20" t="inlineStr">
        <is>
          <t>A01</t>
        </is>
      </c>
      <c r="B9" s="57" t="inlineStr">
        <is>
          <t>Adopción efectiva de recomendaciones (human-in-the-loop)</t>
        </is>
      </c>
      <c r="C9" s="58" t="inlineStr">
        <is>
          <t>SUPUESTO</t>
        </is>
      </c>
      <c r="D9" s="57" t="inlineStr">
        <is>
          <t>—</t>
        </is>
      </c>
      <c r="E9" s="57" t="inlineStr">
        <is>
          <t>—</t>
        </is>
      </c>
      <c r="F9" s="57" t="inlineStr">
        <is>
          <t>Modo asesor con operador en el bucle; adopción parcial es realista. | Recolectar evidencia: entrevistas + historian + LIMS + compras.</t>
        </is>
      </c>
      <c r="G9" s="57" t="inlineStr">
        <is>
          <t>Operación</t>
        </is>
      </c>
      <c r="H9" s="58" t="inlineStr">
        <is>
          <t>PENDIENTE</t>
        </is>
      </c>
      <c r="I9" s="59" t="inlineStr">
        <is>
          <t>https://github.com/tangodelta217/ACQC</t>
        </is>
      </c>
    </row>
    <row r="10" ht="48" customHeight="1">
      <c r="A10" s="20" t="inlineStr">
        <is>
          <t>A02</t>
        </is>
      </c>
      <c r="B10" s="57" t="inlineStr">
        <is>
          <t>Horas de downtime anual atribuible a incidencias de medición/calidad</t>
        </is>
      </c>
      <c r="C10" s="58" t="inlineStr">
        <is>
          <t>SUPUESTO</t>
        </is>
      </c>
      <c r="D10" s="57" t="inlineStr">
        <is>
          <t>—</t>
        </is>
      </c>
      <c r="E10" s="57" t="inlineStr">
        <is>
          <t>—</t>
        </is>
      </c>
      <c r="F10" s="57" t="inlineStr">
        <is>
          <t>Depende de histórico local; establecer con OT/Operación. | Recolectar evidencia: entrevistas + historian + LIMS + compras.</t>
        </is>
      </c>
      <c r="G10" s="57" t="inlineStr">
        <is>
          <t>OT/Operación</t>
        </is>
      </c>
      <c r="H10" s="58" t="inlineStr">
        <is>
          <t>PENDIENTE</t>
        </is>
      </c>
      <c r="I10" s="59" t="inlineStr">
        <is>
          <t>https://github.com/tangodelta217/ACQC</t>
        </is>
      </c>
    </row>
    <row r="11" ht="63" customHeight="1">
      <c r="A11" s="20" t="inlineStr">
        <is>
          <t>A03</t>
        </is>
      </c>
      <c r="B11" s="57" t="inlineStr">
        <is>
          <t>Reducción de downtime por fallback + detección (ACQC)</t>
        </is>
      </c>
      <c r="C11" s="58" t="inlineStr">
        <is>
          <t>SUPUESTO</t>
        </is>
      </c>
      <c r="D11" s="57" t="inlineStr">
        <is>
          <t>—</t>
        </is>
      </c>
      <c r="E11" s="57" t="inlineStr">
        <is>
          <t>—</t>
        </is>
      </c>
      <c r="F11" s="57" t="inlineStr">
        <is>
          <t>Se incluyen flujos degradados (fallback) y observabilidad; cuantificar con incidentes reales. | Recolectar evidencia: entrevistas + historian + LIMS + compras.</t>
        </is>
      </c>
      <c r="G11" s="57" t="inlineStr">
        <is>
          <t>OT/Operación</t>
        </is>
      </c>
      <c r="H11" s="58" t="inlineStr">
        <is>
          <t>PENDIENTE</t>
        </is>
      </c>
      <c r="I11" s="59" t="inlineStr">
        <is>
          <t>https://github.com/tangodelta217/ACQC</t>
        </is>
      </c>
    </row>
    <row r="12" ht="63" customHeight="1">
      <c r="A12" s="20" t="inlineStr">
        <is>
          <t>P01</t>
        </is>
      </c>
      <c r="B12" s="57" t="inlineStr">
        <is>
          <t>Producción anual impactada (corriente/unidad objetivo)</t>
        </is>
      </c>
      <c r="C12" s="58" t="inlineStr">
        <is>
          <t>SUPUESTO</t>
        </is>
      </c>
      <c r="D12" s="57" t="inlineStr">
        <is>
          <t>—</t>
        </is>
      </c>
      <c r="E12" s="57" t="inlineStr">
        <is>
          <t>—</t>
        </is>
      </c>
      <c r="F12" s="57" t="inlineStr">
        <is>
          <t>Requiere definir unidad y corriente en Puertollano; placeholder editable. | Recolectar evidencia: entrevistas + historian + LIMS + compras.</t>
        </is>
      </c>
      <c r="G12" s="57" t="inlineStr">
        <is>
          <t>Producción</t>
        </is>
      </c>
      <c r="H12" s="58" t="inlineStr">
        <is>
          <t>PENDIENTE</t>
        </is>
      </c>
      <c r="I12" s="59" t="inlineStr">
        <is>
          <t>https://github.com/tangodelta217/ACQC</t>
        </is>
      </c>
    </row>
    <row r="13" ht="48" customHeight="1">
      <c r="A13" s="20" t="inlineStr">
        <is>
          <t>P02</t>
        </is>
      </c>
      <c r="B13" s="57" t="inlineStr">
        <is>
          <t>Margen de contribución por tonelada (producto afectado)</t>
        </is>
      </c>
      <c r="C13" s="58" t="inlineStr">
        <is>
          <t>SUPUESTO</t>
        </is>
      </c>
      <c r="D13" s="57" t="inlineStr">
        <is>
          <t>—</t>
        </is>
      </c>
      <c r="E13" s="57" t="inlineStr">
        <is>
          <t>—</t>
        </is>
      </c>
      <c r="F13" s="57" t="inlineStr">
        <is>
          <t>Depende de slate y mercado; usar contabilidad de gestión. | Recolectar evidencia: entrevistas + historian + LIMS + compras.</t>
        </is>
      </c>
      <c r="G13" s="57" t="inlineStr">
        <is>
          <t>Finanzas</t>
        </is>
      </c>
      <c r="H13" s="58" t="inlineStr">
        <is>
          <t>PENDIENTE</t>
        </is>
      </c>
      <c r="I13" s="59" t="inlineStr">
        <is>
          <t>https://github.com/tangodelta217/ACQC</t>
        </is>
      </c>
    </row>
    <row r="14" ht="48" customHeight="1">
      <c r="A14" s="20" t="inlineStr">
        <is>
          <t>P03</t>
        </is>
      </c>
      <c r="B14" s="57" t="inlineStr">
        <is>
          <t>Mejora de throughput/rendimiento por optimización (esperada)</t>
        </is>
      </c>
      <c r="C14" s="58" t="inlineStr">
        <is>
          <t>FUENTE</t>
        </is>
      </c>
      <c r="D14" s="57" t="inlineStr">
        <is>
          <t>ACQC_Optimizacion.pdf</t>
        </is>
      </c>
      <c r="E14" s="57" t="inlineStr">
        <is>
          <t>Resultados esperados (throughput)</t>
        </is>
      </c>
      <c r="F14" s="57" t="inlineStr">
        <is>
          <t>Resultados esperados en simulación/estudios del módulo de optimización segura (no medido en planta).</t>
        </is>
      </c>
      <c r="G14" s="57" t="inlineStr">
        <is>
          <t>Proceso</t>
        </is>
      </c>
      <c r="H14" s="58" t="inlineStr">
        <is>
          <t>REFERENCIADO</t>
        </is>
      </c>
      <c r="I14" s="59" t="inlineStr">
        <is>
          <t>https://github.com/tangodelta217/ACQC</t>
        </is>
      </c>
    </row>
    <row r="15" ht="63" customHeight="1">
      <c r="A15" s="20" t="inlineStr">
        <is>
          <t>E01</t>
        </is>
      </c>
      <c r="B15" s="57" t="inlineStr">
        <is>
          <t>Consumo energético específico base</t>
        </is>
      </c>
      <c r="C15" s="58" t="inlineStr">
        <is>
          <t>SUPUESTO</t>
        </is>
      </c>
      <c r="D15" s="57" t="inlineStr">
        <is>
          <t>—</t>
        </is>
      </c>
      <c r="E15" s="57" t="inlineStr">
        <is>
          <t>—</t>
        </is>
      </c>
      <c r="F15" s="57" t="inlineStr">
        <is>
          <t>Depende de la unidad (hidrotratamiento/blending/etc.); estimación inicial editable. | Recolectar evidencia: entrevistas + historian + LIMS + compras.</t>
        </is>
      </c>
      <c r="G15" s="57" t="inlineStr">
        <is>
          <t>Energía/Proceso</t>
        </is>
      </c>
      <c r="H15" s="58" t="inlineStr">
        <is>
          <t>PENDIENTE</t>
        </is>
      </c>
      <c r="I15" s="59" t="inlineStr">
        <is>
          <t>https://github.com/tangodelta217/ACQC</t>
        </is>
      </c>
    </row>
    <row r="16" ht="63" customHeight="1">
      <c r="A16" s="20" t="inlineStr">
        <is>
          <t>E02</t>
        </is>
      </c>
      <c r="B16" s="57" t="inlineStr">
        <is>
          <t>Precio energético promedio</t>
        </is>
      </c>
      <c r="C16" s="58" t="inlineStr">
        <is>
          <t>SUPUESTO</t>
        </is>
      </c>
      <c r="D16" s="57" t="inlineStr">
        <is>
          <t>—</t>
        </is>
      </c>
      <c r="E16" s="57" t="inlineStr">
        <is>
          <t>—</t>
        </is>
      </c>
      <c r="F16" s="57" t="inlineStr">
        <is>
          <t>Depende de mix energético interno (fuel/vapor/electricidad); fijar con Finanzas/Energía. | Recolectar evidencia: entrevistas + historian + LIMS + compras.</t>
        </is>
      </c>
      <c r="G16" s="57" t="inlineStr">
        <is>
          <t>Energía/Finanzas</t>
        </is>
      </c>
      <c r="H16" s="58" t="inlineStr">
        <is>
          <t>PENDIENTE</t>
        </is>
      </c>
      <c r="I16" s="59" t="inlineStr">
        <is>
          <t>https://github.com/tangodelta217/ACQC</t>
        </is>
      </c>
    </row>
    <row r="17" ht="33" customHeight="1">
      <c r="A17" s="20" t="inlineStr">
        <is>
          <t>E03</t>
        </is>
      </c>
      <c r="B17" s="57" t="inlineStr">
        <is>
          <t>Ahorro energético por optimización (esperado)</t>
        </is>
      </c>
      <c r="C17" s="58" t="inlineStr">
        <is>
          <t>FUENTE</t>
        </is>
      </c>
      <c r="D17" s="57" t="inlineStr">
        <is>
          <t>ACQC_Optimizacion.pdf</t>
        </is>
      </c>
      <c r="E17" s="57" t="inlineStr">
        <is>
          <t>Resultados esperados (ahorro energía)</t>
        </is>
      </c>
      <c r="F17" s="57" t="inlineStr">
        <is>
          <t>Resultados esperados: reducción ~5% en consumo energético (simulación/pruebas controladas).</t>
        </is>
      </c>
      <c r="G17" s="57" t="inlineStr">
        <is>
          <t>Proceso</t>
        </is>
      </c>
      <c r="H17" s="58" t="inlineStr">
        <is>
          <t>REFERENCIADO</t>
        </is>
      </c>
      <c r="I17" s="59" t="inlineStr">
        <is>
          <t>https://github.com/tangodelta217/ACQC</t>
        </is>
      </c>
    </row>
    <row r="18" ht="48" customHeight="1">
      <c r="A18" s="20" t="inlineStr">
        <is>
          <t>Q01</t>
        </is>
      </c>
      <c r="B18" s="57" t="inlineStr">
        <is>
          <t>Tasa de scrap/rework por calidad (base)</t>
        </is>
      </c>
      <c r="C18" s="58" t="inlineStr">
        <is>
          <t>SUPUESTO</t>
        </is>
      </c>
      <c r="D18" s="57" t="inlineStr">
        <is>
          <t>—</t>
        </is>
      </c>
      <c r="E18" s="57" t="inlineStr">
        <is>
          <t>—</t>
        </is>
      </c>
      <c r="F18" s="57" t="inlineStr">
        <is>
          <t>Depende de histórico de lotes fuera de especificación; definir con QA. | Recolectar evidencia: entrevistas + historian + LIMS + compras.</t>
        </is>
      </c>
      <c r="G18" s="57" t="inlineStr">
        <is>
          <t>Calidad</t>
        </is>
      </c>
      <c r="H18" s="58" t="inlineStr">
        <is>
          <t>PENDIENTE</t>
        </is>
      </c>
      <c r="I18" s="59" t="inlineStr">
        <is>
          <t>https://github.com/tangodelta217/ACQC</t>
        </is>
      </c>
    </row>
    <row r="19" ht="63" customHeight="1">
      <c r="A19" s="20" t="inlineStr">
        <is>
          <t>Q02</t>
        </is>
      </c>
      <c r="B19" s="57" t="inlineStr">
        <is>
          <t>Coste incremental de scrap/rework</t>
        </is>
      </c>
      <c r="C19" s="58" t="inlineStr">
        <is>
          <t>SUPUESTO</t>
        </is>
      </c>
      <c r="D19" s="57" t="inlineStr">
        <is>
          <t>—</t>
        </is>
      </c>
      <c r="E19" s="57" t="inlineStr">
        <is>
          <t>—</t>
        </is>
      </c>
      <c r="F19" s="57" t="inlineStr">
        <is>
          <t>Incluye reproceso, pérdida de margen y logística; cuantificar con contabilidad. | Recolectar evidencia: entrevistas + historian + LIMS + compras.</t>
        </is>
      </c>
      <c r="G19" s="57" t="inlineStr">
        <is>
          <t>Finanzas/Calidad</t>
        </is>
      </c>
      <c r="H19" s="58" t="inlineStr">
        <is>
          <t>PENDIENTE</t>
        </is>
      </c>
      <c r="I19" s="59" t="inlineStr">
        <is>
          <t>https://github.com/tangodelta217/ACQC</t>
        </is>
      </c>
    </row>
    <row r="20" ht="63" customHeight="1">
      <c r="A20" s="20" t="inlineStr">
        <is>
          <t>Q03</t>
        </is>
      </c>
      <c r="B20" s="57" t="inlineStr">
        <is>
          <t>Reducción de scrap/rework por observabilidad inline</t>
        </is>
      </c>
      <c r="C20" s="58" t="inlineStr">
        <is>
          <t>SUPUESTO</t>
        </is>
      </c>
      <c r="D20" s="57" t="inlineStr">
        <is>
          <t>—</t>
        </is>
      </c>
      <c r="E20" s="57" t="inlineStr">
        <is>
          <t>—</t>
        </is>
      </c>
      <c r="F20" s="57" t="inlineStr">
        <is>
          <t>Mejoras por detección temprana (soft sensors + PAT) antes del laboratorio; validar en piloto. | Recolectar evidencia: entrevistas + historian + LIMS + compras.</t>
        </is>
      </c>
      <c r="G20" s="57" t="inlineStr">
        <is>
          <t>Calidad/Proceso</t>
        </is>
      </c>
      <c r="H20" s="58" t="inlineStr">
        <is>
          <t>PENDIENTE</t>
        </is>
      </c>
      <c r="I20" s="59" t="inlineStr">
        <is>
          <t>https://github.com/tangodelta217/ACQC</t>
        </is>
      </c>
    </row>
    <row r="21" ht="33" customHeight="1">
      <c r="A21" s="20" t="inlineStr">
        <is>
          <t>T01</t>
        </is>
      </c>
      <c r="B21" s="57" t="inlineStr">
        <is>
          <t>Disponibilidad objetivo del servicio (meta)</t>
        </is>
      </c>
      <c r="C21" s="58" t="inlineStr">
        <is>
          <t>FUENTE</t>
        </is>
      </c>
      <c r="D21" s="57" t="inlineStr">
        <is>
          <t>ACQC_OnePager.pdf</t>
        </is>
      </c>
      <c r="E21" s="57" t="inlineStr">
        <is>
          <t>KPIs (disponibilidad)</t>
        </is>
      </c>
      <c r="F21" s="57" t="inlineStr">
        <is>
          <t>Requisito no funcional de disponibilidad mínima del servicio.</t>
        </is>
      </c>
      <c r="G21" s="57" t="inlineStr">
        <is>
          <t>OT</t>
        </is>
      </c>
      <c r="H21" s="58" t="inlineStr">
        <is>
          <t>REFERENCIADO</t>
        </is>
      </c>
      <c r="I21" s="59" t="inlineStr">
        <is>
          <t>https://github.com/tangodelta217/ACQC</t>
        </is>
      </c>
    </row>
    <row r="22" ht="63" customHeight="1">
      <c r="A22" s="20" t="inlineStr">
        <is>
          <t>C01</t>
        </is>
      </c>
      <c r="B22" s="57" t="inlineStr">
        <is>
          <t>Analizador PAT NIR/Raman + instalación</t>
        </is>
      </c>
      <c r="C22" s="58" t="inlineStr">
        <is>
          <t>SUPUESTO</t>
        </is>
      </c>
      <c r="D22" s="57" t="inlineStr">
        <is>
          <t>—</t>
        </is>
      </c>
      <c r="E22" s="57" t="inlineStr">
        <is>
          <t>—</t>
        </is>
      </c>
      <c r="F22" s="57" t="inlineStr">
        <is>
          <t>Depende de fabricante, instalación e ingeniería; cotizar con proveedores. | Recolectar evidencia: entrevistas + historian + LIMS + compras.</t>
        </is>
      </c>
      <c r="G22" s="57" t="inlineStr">
        <is>
          <t>Compras/Instrumentación</t>
        </is>
      </c>
      <c r="H22" s="58" t="inlineStr">
        <is>
          <t>PENDIENTE</t>
        </is>
      </c>
      <c r="I22" s="59" t="inlineStr">
        <is>
          <t>https://github.com/tangodelta217/ACQC</t>
        </is>
      </c>
    </row>
    <row r="23" ht="48" customHeight="1">
      <c r="A23" s="20" t="inlineStr">
        <is>
          <t>C02</t>
        </is>
      </c>
      <c r="B23" s="57" t="inlineStr">
        <is>
          <t>Edge industrial (gateway/IPC/Jetson) + armario</t>
        </is>
      </c>
      <c r="C23" s="58" t="inlineStr">
        <is>
          <t>SUPUESTO</t>
        </is>
      </c>
      <c r="D23" s="57" t="inlineStr">
        <is>
          <t>—</t>
        </is>
      </c>
      <c r="E23" s="57" t="inlineStr">
        <is>
          <t>—</t>
        </is>
      </c>
      <c r="F23" s="57" t="inlineStr">
        <is>
          <t>Equipo industrial en DMZ con redundancia opcional; estimación inicial. | Recolectar evidencia: entrevistas + historian + LIMS + compras.</t>
        </is>
      </c>
      <c r="G23" s="57" t="inlineStr">
        <is>
          <t>OT</t>
        </is>
      </c>
      <c r="H23" s="58" t="inlineStr">
        <is>
          <t>PENDIENTE</t>
        </is>
      </c>
      <c r="I23" s="59" t="inlineStr">
        <is>
          <t>https://github.com/tangodelta217/ACQC</t>
        </is>
      </c>
    </row>
    <row r="24" ht="48" customHeight="1">
      <c r="A24" s="20" t="inlineStr">
        <is>
          <t>C03</t>
        </is>
      </c>
      <c r="B24" s="57" t="inlineStr">
        <is>
          <t>Integración OT/IT (OPC UA, dashboard, historian/LIMS)</t>
        </is>
      </c>
      <c r="C24" s="58" t="inlineStr">
        <is>
          <t>SUPUESTO</t>
        </is>
      </c>
      <c r="D24" s="57" t="inlineStr">
        <is>
          <t>—</t>
        </is>
      </c>
      <c r="E24" s="57" t="inlineStr">
        <is>
          <t>—</t>
        </is>
      </c>
      <c r="F24" s="57" t="inlineStr">
        <is>
          <t>Horas de ingeniería + pruebas; depende de accesos y complejidad OT. | Recolectar evidencia: entrevistas + historian + LIMS + compras.</t>
        </is>
      </c>
      <c r="G24" s="57" t="inlineStr">
        <is>
          <t>OT/IT</t>
        </is>
      </c>
      <c r="H24" s="58" t="inlineStr">
        <is>
          <t>PENDIENTE</t>
        </is>
      </c>
      <c r="I24" s="59" t="inlineStr">
        <is>
          <t>https://github.com/tangodelta217/ACQC</t>
        </is>
      </c>
    </row>
    <row r="25" ht="63" customHeight="1">
      <c r="A25" s="20" t="inlineStr">
        <is>
          <t>C04</t>
        </is>
      </c>
      <c r="B25" s="57" t="inlineStr">
        <is>
          <t>Ciberseguridad y hardening (certificados, firma, auditoría)</t>
        </is>
      </c>
      <c r="C25" s="58" t="inlineStr">
        <is>
          <t>SUPUESTO</t>
        </is>
      </c>
      <c r="D25" s="57" t="inlineStr">
        <is>
          <t>—</t>
        </is>
      </c>
      <c r="E25" s="57" t="inlineStr">
        <is>
          <t>—</t>
        </is>
      </c>
      <c r="F25" s="57" t="inlineStr">
        <is>
          <t>Incluye hardening, logging central, PKI local; depende de políticas corporativas. | Recolectar evidencia: entrevistas + historian + LIMS + compras.</t>
        </is>
      </c>
      <c r="G25" s="57" t="inlineStr">
        <is>
          <t>Ciberseguridad</t>
        </is>
      </c>
      <c r="H25" s="58" t="inlineStr">
        <is>
          <t>PENDIENTE</t>
        </is>
      </c>
      <c r="I25" s="59" t="inlineStr">
        <is>
          <t>https://github.com/tangodelta217/ACQC</t>
        </is>
      </c>
    </row>
    <row r="26" ht="48" customHeight="1">
      <c r="A26" s="20" t="inlineStr">
        <is>
          <t>C05</t>
        </is>
      </c>
      <c r="B26" s="57" t="inlineStr">
        <is>
          <t>Gestión de cambio, formación y documentación</t>
        </is>
      </c>
      <c r="C26" s="58" t="inlineStr">
        <is>
          <t>SUPUESTO</t>
        </is>
      </c>
      <c r="D26" s="57" t="inlineStr">
        <is>
          <t>—</t>
        </is>
      </c>
      <c r="E26" s="57" t="inlineStr">
        <is>
          <t>—</t>
        </is>
      </c>
      <c r="F26" s="57" t="inlineStr">
        <is>
          <t>Formación operadores/QA + documentación + MOC (si aplica). | Recolectar evidencia: entrevistas + historian + LIMS + compras.</t>
        </is>
      </c>
      <c r="G26" s="57" t="inlineStr">
        <is>
          <t>Operación/QA</t>
        </is>
      </c>
      <c r="H26" s="58" t="inlineStr">
        <is>
          <t>PENDIENTE</t>
        </is>
      </c>
      <c r="I26" s="59" t="inlineStr">
        <is>
          <t>https://github.com/tangodelta217/ACQC</t>
        </is>
      </c>
    </row>
    <row r="27" ht="48" customHeight="1">
      <c r="A27" s="20" t="inlineStr">
        <is>
          <t>C06</t>
        </is>
      </c>
      <c r="B27" s="57" t="inlineStr">
        <is>
          <t>Contingencia CAPEX</t>
        </is>
      </c>
      <c r="C27" s="58" t="inlineStr">
        <is>
          <t>SUPUESTO</t>
        </is>
      </c>
      <c r="D27" s="57" t="inlineStr">
        <is>
          <t>—</t>
        </is>
      </c>
      <c r="E27" s="57" t="inlineStr">
        <is>
          <t>—</t>
        </is>
      </c>
      <c r="F27" s="57" t="inlineStr">
        <is>
          <t>Buenas prácticas de estimación para pilotos. | Recolectar evidencia: entrevistas + historian + LIMS + compras.</t>
        </is>
      </c>
      <c r="G27" s="57" t="inlineStr">
        <is>
          <t>Finanzas</t>
        </is>
      </c>
      <c r="H27" s="58" t="inlineStr">
        <is>
          <t>PENDIENTE</t>
        </is>
      </c>
      <c r="I27" s="59" t="inlineStr">
        <is>
          <t>https://github.com/tangodelta217/ACQC</t>
        </is>
      </c>
    </row>
    <row r="28" ht="63" customHeight="1">
      <c r="A28" s="20" t="inlineStr">
        <is>
          <t>O01</t>
        </is>
      </c>
      <c r="B28" s="57" t="inlineStr">
        <is>
          <t>Mantenimiento anual PAT (calibración, consumibles)</t>
        </is>
      </c>
      <c r="C28" s="58" t="inlineStr">
        <is>
          <t>SUPUESTO</t>
        </is>
      </c>
      <c r="D28" s="57" t="inlineStr">
        <is>
          <t>—</t>
        </is>
      </c>
      <c r="E28" s="57" t="inlineStr">
        <is>
          <t>—</t>
        </is>
      </c>
      <c r="F28" s="57" t="inlineStr">
        <is>
          <t>Contrato de mantenimiento y recalibración periódica; dependerá del sensor. | Recolectar evidencia: entrevistas + historian + LIMS + compras.</t>
        </is>
      </c>
      <c r="G28" s="57" t="inlineStr">
        <is>
          <t>Instrumentación</t>
        </is>
      </c>
      <c r="H28" s="58" t="inlineStr">
        <is>
          <t>PENDIENTE</t>
        </is>
      </c>
      <c r="I28" s="59" t="inlineStr">
        <is>
          <t>https://github.com/tangodelta217/ACQC</t>
        </is>
      </c>
    </row>
    <row r="29" ht="48" customHeight="1">
      <c r="A29" s="20" t="inlineStr">
        <is>
          <t>O02</t>
        </is>
      </c>
      <c r="B29" s="57" t="inlineStr">
        <is>
          <t>Soporte MLOps/analítica (reentrenos, QA modelos)</t>
        </is>
      </c>
      <c r="C29" s="58" t="inlineStr">
        <is>
          <t>SUPUESTO</t>
        </is>
      </c>
      <c r="D29" s="57" t="inlineStr">
        <is>
          <t>—</t>
        </is>
      </c>
      <c r="E29" s="57" t="inlineStr">
        <is>
          <t>—</t>
        </is>
      </c>
      <c r="F29" s="57" t="inlineStr">
        <is>
          <t>Dedicación parcial (data/OT) para mantener modelos y validación. | Recolectar evidencia: entrevistas + historian + LIMS + compras.</t>
        </is>
      </c>
      <c r="G29" s="57" t="inlineStr">
        <is>
          <t>Digital/OT</t>
        </is>
      </c>
      <c r="H29" s="58" t="inlineStr">
        <is>
          <t>PENDIENTE</t>
        </is>
      </c>
      <c r="I29" s="59" t="inlineStr">
        <is>
          <t>https://github.com/tangodelta217/ACQC</t>
        </is>
      </c>
    </row>
    <row r="30" ht="48" customHeight="1">
      <c r="A30" s="20" t="inlineStr">
        <is>
          <t>O03</t>
        </is>
      </c>
      <c r="B30" s="57" t="inlineStr">
        <is>
          <t>Operación cibersegura (parches, rotación credenciales, SIEM)</t>
        </is>
      </c>
      <c r="C30" s="58" t="inlineStr">
        <is>
          <t>SUPUESTO</t>
        </is>
      </c>
      <c r="D30" s="57" t="inlineStr">
        <is>
          <t>—</t>
        </is>
      </c>
      <c r="E30" s="57" t="inlineStr">
        <is>
          <t>—</t>
        </is>
      </c>
      <c r="F30" s="57" t="inlineStr">
        <is>
          <t>Depende de SOC/CSIRT y herramientas existentes; estimación inicial. | Recolectar evidencia: entrevistas + historian + LIMS + compras.</t>
        </is>
      </c>
      <c r="G30" s="57" t="inlineStr">
        <is>
          <t>Ciberseguridad</t>
        </is>
      </c>
      <c r="H30" s="58" t="inlineStr">
        <is>
          <t>PENDIENTE</t>
        </is>
      </c>
      <c r="I30" s="59" t="inlineStr">
        <is>
          <t>https://github.com/tangodelta217/ACQC</t>
        </is>
      </c>
    </row>
    <row r="31" ht="48" customHeight="1">
      <c r="A31" s="20" t="inlineStr">
        <is>
          <t>O04</t>
        </is>
      </c>
      <c r="B31" s="57" t="inlineStr">
        <is>
          <t>Infraestructura IT (almacenamiento, backups, licencias)</t>
        </is>
      </c>
      <c r="C31" s="58" t="inlineStr">
        <is>
          <t>SUPUESTO</t>
        </is>
      </c>
      <c r="D31" s="57" t="inlineStr">
        <is>
          <t>—</t>
        </is>
      </c>
      <c r="E31" s="57" t="inlineStr">
        <is>
          <t>—</t>
        </is>
      </c>
      <c r="F31" s="57" t="inlineStr">
        <is>
          <t>Puede ser 0 si se usa infraestructura existente; confirmar. | Recolectar evidencia: entrevistas + historian + LIMS + compras.</t>
        </is>
      </c>
      <c r="G31" s="57" t="inlineStr">
        <is>
          <t>IT</t>
        </is>
      </c>
      <c r="H31" s="58" t="inlineStr">
        <is>
          <t>PENDIENTE</t>
        </is>
      </c>
      <c r="I31" s="59" t="inlineStr">
        <is>
          <t>https://github.com/tangodelta217/ACQC</t>
        </is>
      </c>
    </row>
  </sheetData>
  <autoFilter ref="A3:I31"/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2026-01-06T00:06:47Z</dcterms:created>
  <dcterms:modified xmlns:dcterms="http://purl.org/dc/terms/" xmlns:xsi="http://www.w3.org/2001/XMLSchema-instance" xsi:type="dcterms:W3CDTF">2026-01-06T00:06:47Z</dcterms:modified>
</cp:coreProperties>
</file>