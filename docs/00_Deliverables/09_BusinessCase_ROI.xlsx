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870a369af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6ffd0b0635c4bb0"/>
    <x:sheet xmlns:r="http://schemas.openxmlformats.org/officeDocument/2006/relationships" name="Supuestos" sheetId="2" r:id="R21c1a444030649b0"/>
    <x:sheet xmlns:r="http://schemas.openxmlformats.org/officeDocument/2006/relationships" name="Beneficios_Energia" sheetId="3" r:id="R85089cc3c4bf46a1"/>
    <x:sheet xmlns:r="http://schemas.openxmlformats.org/officeDocument/2006/relationships" name="Beneficios_Calidad" sheetId="4" r:id="R842deb57bd9a4f25"/>
    <x:sheet xmlns:r="http://schemas.openxmlformats.org/officeDocument/2006/relationships" name="Beneficios_Disponibilidad" sheetId="5" r:id="R4ceb4b57a63b4d82"/>
    <x:sheet xmlns:r="http://schemas.openxmlformats.org/officeDocument/2006/relationships" name="Costes" sheetId="6" r:id="Ra64489663c6b43ed"/>
    <x:sheet xmlns:r="http://schemas.openxmlformats.org/officeDocument/2006/relationships" name="Sensibilidad" sheetId="7" r:id="Rac4fd36759004ee1"/>
    <x:sheet xmlns:r="http://schemas.openxmlformats.org/officeDocument/2006/relationships" name="Trazabilidad" sheetId="8" r:id="R6e211177652d4afd"/>
  </x:sheets>
</x:workbook>
</file>

<file path=xl/comments1.xml><?xml version="1.0" encoding="utf-8"?>
<x:comments xmlns:x="http://schemas.openxmlformats.org/spreadsheetml/2006/main">
  <x:authors>
    <x:author>ACQC</x:author>
  </x:authors>
  <x:commentList>
    <x:comment ref="E4" authorId="0">
      <x:text>
        <x:r>
          <x:t>SUPUESTO: Constante de calendario (sin año específico).
Ref: https://github.com/tangodelta217/ACQC</x:t>
        </x:r>
      </x:text>
    </x:comment>
    <x:comment ref="F4" authorId="0">
      <x:text>
        <x:r>
          <x:t>SUPUESTO: Constante de calendario (sin año específico).
Ref: https://github.com/tangodelta217/ACQC</x:t>
        </x:r>
      </x:text>
    </x:comment>
    <x:comment ref="G4" authorId="0">
      <x:text>
        <x:r>
          <x:t>SUPUESTO: Constante de calendario (sin año específico).
Ref: https://github.com/tangodelta217/ACQC</x:t>
        </x:r>
      </x:text>
    </x:comment>
    <x:comment ref="E5" authorId="0">
      <x:text>
        <x:r>
          <x:t>SUPUESTO: Definición interna: ±20% (bajo).
Ref: https://github.com/tangodelta217/ACQC</x:t>
        </x:r>
      </x:text>
    </x:comment>
    <x:comment ref="F5" authorId="0">
      <x:text>
        <x:r>
          <x:t>SUPUESTO: Definición interna: ±20% (bajo).
Ref: https://github.com/tangodelta217/ACQC</x:t>
        </x:r>
      </x:text>
    </x:comment>
    <x:comment ref="G5" authorId="0">
      <x:text>
        <x:r>
          <x:t>SUPUESTO: Definición interna: ±20% (bajo).
Ref: https://github.com/tangodelta217/ACQC</x:t>
        </x:r>
      </x:text>
    </x:comment>
    <x:comment ref="E6" authorId="0">
      <x:text>
        <x:r>
          <x:t>SUPUESTO: Definición interna: ±20% (alto).
Ref: https://github.com/tangodelta217/ACQC</x:t>
        </x:r>
      </x:text>
    </x:comment>
    <x:comment ref="F6" authorId="0">
      <x:text>
        <x:r>
          <x:t>SUPUESTO: Definición interna: ±20% (alto).
Ref: https://github.com/tangodelta217/ACQC</x:t>
        </x:r>
      </x:text>
    </x:comment>
    <x:comment ref="G6" authorId="0">
      <x:text>
        <x:r>
          <x:t>SUPUESTO: Definición interna: ±20% (alto).
Ref: https://github.com/tangodelta217/ACQC</x:t>
        </x:r>
      </x:text>
    </x:comment>
    <x:comment ref="E7" authorId="0">
      <x:text>
        <x:r>
          <x:t>SUPUESTO: Supuesto estándar para pilotos industriales; ajustar a política financiera.
Ref: https://github.com/tangodelta217/ACQC</x:t>
        </x:r>
      </x:text>
    </x:comment>
    <x:comment ref="F7" authorId="0">
      <x:text>
        <x:r>
          <x:t>SUPUESTO: Supuesto estándar para pilotos industriales; ajustar a política financiera.
Ref: https://github.com/tangodelta217/ACQC</x:t>
        </x:r>
      </x:text>
    </x:comment>
    <x:comment ref="G7" authorId="0">
      <x:text>
        <x:r>
          <x:t>SUPUESTO: Supuesto estándar para pilotos industriales; ajustar a política financiera.
Ref: https://github.com/tangodelta217/ACQC</x:t>
        </x:r>
      </x:text>
    </x:comment>
    <x:comment ref="E8" authorId="0">
      <x:text>
        <x:r>
          <x:t>SUPUESTO: Supuesto inicial; reemplazar por tasa corporativa.
Ref: https://github.com/tangodelta217/ACQC</x:t>
        </x:r>
      </x:text>
    </x:comment>
    <x:comment ref="F8" authorId="0">
      <x:text>
        <x:r>
          <x:t>SUPUESTO: Supuesto inicial; reemplazar por tasa corporativa.
Ref: https://github.com/tangodelta217/ACQC</x:t>
        </x:r>
      </x:text>
    </x:comment>
    <x:comment ref="G8" authorId="0">
      <x:text>
        <x:r>
          <x:t>SUPUESTO: Supuesto inicial; reemplazar por tasa corporativa.
Ref: https://github.com/tangodelta217/ACQC</x:t>
        </x:r>
      </x:text>
    </x:comment>
    <x:comment ref="E9" authorId="0">
      <x:text>
        <x:r>
          <x:t>SUPUESTO: Modo asesor con operador en el bucle; adopción parcial es realista.
Ref: https://github.com/tangodelta217/ACQC</x:t>
        </x:r>
      </x:text>
    </x:comment>
    <x:comment ref="F9" authorId="0">
      <x:text>
        <x:r>
          <x:t>SUPUESTO: Modo asesor con operador en el bucle; adopción parcial es realista.
Ref: https://github.com/tangodelta217/ACQC</x:t>
        </x:r>
      </x:text>
    </x:comment>
    <x:comment ref="G9" authorId="0">
      <x:text>
        <x:r>
          <x:t>SUPUESTO: Modo asesor con operador en el bucle; adopción parcial es realista.
Ref: https://github.com/tangodelta217/ACQC</x:t>
        </x:r>
      </x:text>
    </x:comment>
    <x:comment ref="E10" authorId="0">
      <x:text>
        <x:r>
          <x:t>SUPUESTO: Depende de histórico local; establecer con OT/Operación.
Ref: https://github.com/tangodelta217/ACQC</x:t>
        </x:r>
      </x:text>
    </x:comment>
    <x:comment ref="F10" authorId="0">
      <x:text>
        <x:r>
          <x:t>SUPUESTO: Depende de histórico local; establecer con OT/Operación.
Ref: https://github.com/tangodelta217/ACQC</x:t>
        </x:r>
      </x:text>
    </x:comment>
    <x:comment ref="G10" authorId="0">
      <x:text>
        <x:r>
          <x:t>SUPUESTO: Depende de histórico local; establecer con OT/Operación.
Ref: https://github.com/tangodelta217/ACQC</x:t>
        </x:r>
      </x:text>
    </x:comment>
    <x:comment ref="E11" authorId="0">
      <x:text>
        <x:r>
          <x:t>SUPUESTO: Se incluyen flujos degradados (fallback) y observabilidad; cuantificar con incidentes reales.
Ref: https://github.com/tangodelta217/ACQC</x:t>
        </x:r>
      </x:text>
    </x:comment>
    <x:comment ref="F11" authorId="0">
      <x:text>
        <x:r>
          <x:t>SUPUESTO: Se incluyen flujos degradados (fallback) y observabilidad; cuantificar con incidentes reales.
Ref: https://github.com/tangodelta217/ACQC</x:t>
        </x:r>
      </x:text>
    </x:comment>
    <x:comment ref="G11" authorId="0">
      <x:text>
        <x:r>
          <x:t>SUPUESTO: Se incluyen flujos degradados (fallback) y observabilidad; cuantificar con incidentes reales.
Ref: https://github.com/tangodelta217/ACQC</x:t>
        </x:r>
      </x:text>
    </x:comment>
    <x:comment ref="E12" authorId="0">
      <x:text>
        <x:r>
          <x:t>SUPUESTO: Requiere definir unidad y corriente en Puertollano; placeholder editable.
Ref: https://github.com/tangodelta217/ACQC</x:t>
        </x:r>
      </x:text>
    </x:comment>
    <x:comment ref="F12" authorId="0">
      <x:text>
        <x:r>
          <x:t>SUPUESTO: Requiere definir unidad y corriente en Puertollano; placeholder editable.
Ref: https://github.com/tangodelta217/ACQC</x:t>
        </x:r>
      </x:text>
    </x:comment>
    <x:comment ref="G12" authorId="0">
      <x:text>
        <x:r>
          <x:t>SUPUESTO: Requiere definir unidad y corriente en Puertollano; placeholder editable.
Ref: https://github.com/tangodelta217/ACQC</x:t>
        </x:r>
      </x:text>
    </x:comment>
    <x:comment ref="E13" authorId="0">
      <x:text>
        <x:r>
          <x:t>SUPUESTO: Depende de slate y mercado; usar contabilidad de gestión.
Ref: https://github.com/tangodelta217/ACQC</x:t>
        </x:r>
      </x:text>
    </x:comment>
    <x:comment ref="F13" authorId="0">
      <x:text>
        <x:r>
          <x:t>SUPUESTO: Depende de slate y mercado; usar contabilidad de gestión.
Ref: https://github.com/tangodelta217/ACQC</x:t>
        </x:r>
      </x:text>
    </x:comment>
    <x:comment ref="G13" authorId="0">
      <x:text>
        <x:r>
          <x:t>SUPUESTO: Depende de slate y mercado; usar contabilidad de gestión.
Ref: https://github.com/tangodelta217/ACQC</x:t>
        </x:r>
      </x:text>
    </x:comment>
    <x:comment ref="E14" authorId="0">
      <x:text>
        <x:r>
          <x:t>FUENTE: Doc ACQC_Optimizacion.pdf (2026): mejora esperada de throughput/rendimiento ~3% (resultados esperados; validar).
Ref: https://github.com/tangodelta217/ACQC</x:t>
        </x:r>
      </x:text>
    </x:comment>
    <x:comment ref="F14" authorId="0">
      <x:text>
        <x:r>
          <x:t>FUENTE: Doc ACQC_Optimizacion.pdf (2026): mejora esperada de throughput/rendimiento ~3% (resultados esperados; validar).
Ref: https://github.com/tangodelta217/ACQC</x:t>
        </x:r>
      </x:text>
    </x:comment>
    <x:comment ref="G14" authorId="0">
      <x:text>
        <x:r>
          <x:t>FUENTE: Doc ACQC_Optimizacion.pdf (2026): mejora esperada de throughput/rendimiento ~3% (resultados esperados; validar).
Ref: https://github.com/tangodelta217/ACQC</x:t>
        </x:r>
      </x:text>
    </x:comment>
    <x:comment ref="E15" authorId="0">
      <x:text>
        <x:r>
          <x:t>SUPUESTO: Depende de la unidad (hidrotratamiento/blending/etc.); estimación inicial editable.
Ref: https://github.com/tangodelta217/ACQC</x:t>
        </x:r>
      </x:text>
    </x:comment>
    <x:comment ref="F15" authorId="0">
      <x:text>
        <x:r>
          <x:t>SUPUESTO: Depende de la unidad (hidrotratamiento/blending/etc.); estimación inicial editable.
Ref: https://github.com/tangodelta217/ACQC</x:t>
        </x:r>
      </x:text>
    </x:comment>
    <x:comment ref="G15" authorId="0">
      <x:text>
        <x:r>
          <x:t>SUPUESTO: Depende de la unidad (hidrotratamiento/blending/etc.); estimación inicial editable.
Ref: https://github.com/tangodelta217/ACQC</x:t>
        </x:r>
      </x:text>
    </x:comment>
    <x:comment ref="E16" authorId="0">
      <x:text>
        <x:r>
          <x:t>SUPUESTO: Depende de mix energético interno (fuel/vapor/electricidad); fijar con Finanzas/Energía.
Ref: https://github.com/tangodelta217/ACQC</x:t>
        </x:r>
      </x:text>
    </x:comment>
    <x:comment ref="F16" authorId="0">
      <x:text>
        <x:r>
          <x:t>SUPUESTO: Depende de mix energético interno (fuel/vapor/electricidad); fijar con Finanzas/Energía.
Ref: https://github.com/tangodelta217/ACQC</x:t>
        </x:r>
      </x:text>
    </x:comment>
    <x:comment ref="G16" authorId="0">
      <x:text>
        <x:r>
          <x:t>SUPUESTO: Depende de mix energético interno (fuel/vapor/electricidad); fijar con Finanzas/Energía.
Ref: https://github.com/tangodelta217/ACQC</x:t>
        </x:r>
      </x:text>
    </x:comment>
    <x:comment ref="E17" authorId="0">
      <x:text>
        <x:r>
          <x:t>FUENTE: Doc ACQC_Optimizacion.pdf (2026): ahorro energético esperado ~5% (resultados esperados; validar).
Ref: https://github.com/tangodelta217/ACQC</x:t>
        </x:r>
      </x:text>
    </x:comment>
    <x:comment ref="F17" authorId="0">
      <x:text>
        <x:r>
          <x:t>FUENTE: Doc ACQC_Optimizacion.pdf (2026): ahorro energético esperado ~5% (resultados esperados; validar).
Ref: https://github.com/tangodelta217/ACQC</x:t>
        </x:r>
      </x:text>
    </x:comment>
    <x:comment ref="G17" authorId="0">
      <x:text>
        <x:r>
          <x:t>FUENTE: Doc ACQC_Optimizacion.pdf (2026): ahorro energético esperado ~5% (resultados esperados; validar).
Ref: https://github.com/tangodelta217/ACQC</x:t>
        </x:r>
      </x:text>
    </x:comment>
    <x:comment ref="E18" authorId="0">
      <x:text>
        <x:r>
          <x:t>SUPUESTO: Depende de histórico de lotes fuera de especificación; definir con QA.
Ref: https://github.com/tangodelta217/ACQC</x:t>
        </x:r>
      </x:text>
    </x:comment>
    <x:comment ref="F18" authorId="0">
      <x:text>
        <x:r>
          <x:t>SUPUESTO: Depende de histórico de lotes fuera de especificación; definir con QA.
Ref: https://github.com/tangodelta217/ACQC</x:t>
        </x:r>
      </x:text>
    </x:comment>
    <x:comment ref="G18" authorId="0">
      <x:text>
        <x:r>
          <x:t>SUPUESTO: Depende de histórico de lotes fuera de especificación; definir con QA.
Ref: https://github.com/tangodelta217/ACQC</x:t>
        </x:r>
      </x:text>
    </x:comment>
    <x:comment ref="E19" authorId="0">
      <x:text>
        <x:r>
          <x:t>SUPUESTO: Incluye reproceso, pérdida de margen y logística; cuantificar con contabilidad.
Ref: https://github.com/tangodelta217/ACQC</x:t>
        </x:r>
      </x:text>
    </x:comment>
    <x:comment ref="F19" authorId="0">
      <x:text>
        <x:r>
          <x:t>SUPUESTO: Incluye reproceso, pérdida de margen y logística; cuantificar con contabilidad.
Ref: https://github.com/tangodelta217/ACQC</x:t>
        </x:r>
      </x:text>
    </x:comment>
    <x:comment ref="G19" authorId="0">
      <x:text>
        <x:r>
          <x:t>SUPUESTO: Incluye reproceso, pérdida de margen y logística; cuantificar con contabilidad.
Ref: https://github.com/tangodelta217/ACQC</x:t>
        </x:r>
      </x:text>
    </x:comment>
    <x:comment ref="E20" authorId="0">
      <x:text>
        <x:r>
          <x:t>SUPUESTO: Mejoras por detección temprana (soft sensors + PAT) antes del laboratorio; validar en piloto.
Ref: https://github.com/tangodelta217/ACQC</x:t>
        </x:r>
      </x:text>
    </x:comment>
    <x:comment ref="F20" authorId="0">
      <x:text>
        <x:r>
          <x:t>SUPUESTO: Mejoras por detección temprana (soft sensors + PAT) antes del laboratorio; validar en piloto.
Ref: https://github.com/tangodelta217/ACQC</x:t>
        </x:r>
      </x:text>
    </x:comment>
    <x:comment ref="G20" authorId="0">
      <x:text>
        <x:r>
          <x:t>SUPUESTO: Mejoras por detección temprana (soft sensors + PAT) antes del laboratorio; validar en piloto.
Ref: https://github.com/tangodelta217/ACQC</x:t>
        </x:r>
      </x:text>
    </x:comment>
    <x:comment ref="E21" authorId="0">
      <x:text>
        <x:r>
          <x:t>FUENTE: Doc ACQC_OnePager.pdf (2026): disponibilidad objetivo del servicio (KPI de operación).
Ref: https://github.com/tangodelta217/ACQC</x:t>
        </x:r>
      </x:text>
    </x:comment>
    <x:comment ref="F21" authorId="0">
      <x:text>
        <x:r>
          <x:t>FUENTE: Doc ACQC_OnePager.pdf (2026): disponibilidad objetivo del servicio (KPI de operación).
Ref: https://github.com/tangodelta217/ACQC</x:t>
        </x:r>
      </x:text>
    </x:comment>
    <x:comment ref="G21" authorId="0">
      <x:text>
        <x:r>
          <x:t>FUENTE: Doc ACQC_OnePager.pdf (2026): disponibilidad objetivo del servicio (KPI de operación).
Ref: https://github.com/tangodelta217/ACQC</x:t>
        </x:r>
      </x:text>
    </x:comment>
    <x:comment ref="E22" authorId="0">
      <x:text>
        <x:r>
          <x:t>SUPUESTO: Depende de fabricante, instalación e ingeniería; cotizar con proveedores.
Ref: https://github.com/tangodelta217/ACQC</x:t>
        </x:r>
      </x:text>
    </x:comment>
    <x:comment ref="F22" authorId="0">
      <x:text>
        <x:r>
          <x:t>SUPUESTO: Depende de fabricante, instalación e ingeniería; cotizar con proveedores.
Ref: https://github.com/tangodelta217/ACQC</x:t>
        </x:r>
      </x:text>
    </x:comment>
    <x:comment ref="G22" authorId="0">
      <x:text>
        <x:r>
          <x:t>SUPUESTO: Depende de fabricante, instalación e ingeniería; cotizar con proveedores.
Ref: https://github.com/tangodelta217/ACQC</x:t>
        </x:r>
      </x:text>
    </x:comment>
    <x:comment ref="E23" authorId="0">
      <x:text>
        <x:r>
          <x:t>SUPUESTO: Equipo industrial en DMZ con redundancia opcional; estimación inicial.
Ref: https://github.com/tangodelta217/ACQC</x:t>
        </x:r>
      </x:text>
    </x:comment>
    <x:comment ref="F23" authorId="0">
      <x:text>
        <x:r>
          <x:t>SUPUESTO: Equipo industrial en DMZ con redundancia opcional; estimación inicial.
Ref: https://github.com/tangodelta217/ACQC</x:t>
        </x:r>
      </x:text>
    </x:comment>
    <x:comment ref="G23" authorId="0">
      <x:text>
        <x:r>
          <x:t>SUPUESTO: Equipo industrial en DMZ con redundancia opcional; estimación inicial.
Ref: https://github.com/tangodelta217/ACQC</x:t>
        </x:r>
      </x:text>
    </x:comment>
    <x:comment ref="E24" authorId="0">
      <x:text>
        <x:r>
          <x:t>SUPUESTO: Horas de ingeniería + pruebas; depende de accesos y complejidad OT.
Ref: https://github.com/tangodelta217/ACQC</x:t>
        </x:r>
      </x:text>
    </x:comment>
    <x:comment ref="F24" authorId="0">
      <x:text>
        <x:r>
          <x:t>SUPUESTO: Horas de ingeniería + pruebas; depende de accesos y complejidad OT.
Ref: https://github.com/tangodelta217/ACQC</x:t>
        </x:r>
      </x:text>
    </x:comment>
    <x:comment ref="G24" authorId="0">
      <x:text>
        <x:r>
          <x:t>SUPUESTO: Horas de ingeniería + pruebas; depende de accesos y complejidad OT.
Ref: https://github.com/tangodelta217/ACQC</x:t>
        </x:r>
      </x:text>
    </x:comment>
    <x:comment ref="E25" authorId="0">
      <x:text>
        <x:r>
          <x:t>SUPUESTO: Incluye hardening, logging central, PKI local; depende de políticas corporativas.
Ref: https://github.com/tangodelta217/ACQC</x:t>
        </x:r>
      </x:text>
    </x:comment>
    <x:comment ref="F25" authorId="0">
      <x:text>
        <x:r>
          <x:t>SUPUESTO: Incluye hardening, logging central, PKI local; depende de políticas corporativas.
Ref: https://github.com/tangodelta217/ACQC</x:t>
        </x:r>
      </x:text>
    </x:comment>
    <x:comment ref="G25" authorId="0">
      <x:text>
        <x:r>
          <x:t>SUPUESTO: Incluye hardening, logging central, PKI local; depende de políticas corporativas.
Ref: https://github.com/tangodelta217/ACQC</x:t>
        </x:r>
      </x:text>
    </x:comment>
    <x:comment ref="E26" authorId="0">
      <x:text>
        <x:r>
          <x:t>SUPUESTO: Formación operadores/QA + documentación + MOC (si aplica).
Ref: https://github.com/tangodelta217/ACQC</x:t>
        </x:r>
      </x:text>
    </x:comment>
    <x:comment ref="F26" authorId="0">
      <x:text>
        <x:r>
          <x:t>SUPUESTO: Formación operadores/QA + documentación + MOC (si aplica).
Ref: https://github.com/tangodelta217/ACQC</x:t>
        </x:r>
      </x:text>
    </x:comment>
    <x:comment ref="G26" authorId="0">
      <x:text>
        <x:r>
          <x:t>SUPUESTO: Formación operadores/QA + documentación + MOC (si aplica).
Ref: https://github.com/tangodelta217/ACQC</x:t>
        </x:r>
      </x:text>
    </x:comment>
    <x:comment ref="E27" authorId="0">
      <x:text>
        <x:r>
          <x:t>SUPUESTO: Buenas prácticas de estimación para pilotos.
Ref: https://github.com/tangodelta217/ACQC</x:t>
        </x:r>
      </x:text>
    </x:comment>
    <x:comment ref="F27" authorId="0">
      <x:text>
        <x:r>
          <x:t>SUPUESTO: Buenas prácticas de estimación para pilotos.
Ref: https://github.com/tangodelta217/ACQC</x:t>
        </x:r>
      </x:text>
    </x:comment>
    <x:comment ref="G27" authorId="0">
      <x:text>
        <x:r>
          <x:t>SUPUESTO: Buenas prácticas de estimación para pilotos.
Ref: https://github.com/tangodelta217/ACQC</x:t>
        </x:r>
      </x:text>
    </x:comment>
    <x:comment ref="E28" authorId="0">
      <x:text>
        <x:r>
          <x:t>SUPUESTO: Contrato de mantenimiento y recalibración periódica; dependerá del sensor.
Ref: https://github.com/tangodelta217/ACQC</x:t>
        </x:r>
      </x:text>
    </x:comment>
    <x:comment ref="F28" authorId="0">
      <x:text>
        <x:r>
          <x:t>SUPUESTO: Contrato de mantenimiento y recalibración periódica; dependerá del sensor.
Ref: https://github.com/tangodelta217/ACQC</x:t>
        </x:r>
      </x:text>
    </x:comment>
    <x:comment ref="G28" authorId="0">
      <x:text>
        <x:r>
          <x:t>SUPUESTO: Contrato de mantenimiento y recalibración periódica; dependerá del sensor.
Ref: https://github.com/tangodelta217/ACQC</x:t>
        </x:r>
      </x:text>
    </x:comment>
    <x:comment ref="E29" authorId="0">
      <x:text>
        <x:r>
          <x:t>SUPUESTO: Dedicación parcial (data/OT) para mantener modelos y validación.
Ref: https://github.com/tangodelta217/ACQC</x:t>
        </x:r>
      </x:text>
    </x:comment>
    <x:comment ref="F29" authorId="0">
      <x:text>
        <x:r>
          <x:t>SUPUESTO: Dedicación parcial (data/OT) para mantener modelos y validación.
Ref: https://github.com/tangodelta217/ACQC</x:t>
        </x:r>
      </x:text>
    </x:comment>
    <x:comment ref="G29" authorId="0">
      <x:text>
        <x:r>
          <x:t>SUPUESTO: Dedicación parcial (data/OT) para mantener modelos y validación.
Ref: https://github.com/tangodelta217/ACQC</x:t>
        </x:r>
      </x:text>
    </x:comment>
    <x:comment ref="E30" authorId="0">
      <x:text>
        <x:r>
          <x:t>SUPUESTO: Depende de SOC/CSIRT y herramientas existentes; estimación inicial.
Ref: https://github.com/tangodelta217/ACQC</x:t>
        </x:r>
      </x:text>
    </x:comment>
    <x:comment ref="F30" authorId="0">
      <x:text>
        <x:r>
          <x:t>SUPUESTO: Depende de SOC/CSIRT y herramientas existentes; estimación inicial.
Ref: https://github.com/tangodelta217/ACQC</x:t>
        </x:r>
      </x:text>
    </x:comment>
    <x:comment ref="G30" authorId="0">
      <x:text>
        <x:r>
          <x:t>SUPUESTO: Depende de SOC/CSIRT y herramientas existentes; estimación inicial.
Ref: https://github.com/tangodelta217/ACQC</x:t>
        </x:r>
      </x:text>
    </x:comment>
    <x:comment ref="E31" authorId="0">
      <x:text>
        <x:r>
          <x:t>SUPUESTO: Puede ser 0 si se usa infraestructura existente; confirmar.
Ref: https://github.com/tangodelta217/ACQC</x:t>
        </x:r>
      </x:text>
    </x:comment>
    <x:comment ref="F31" authorId="0">
      <x:text>
        <x:r>
          <x:t>SUPUESTO: Puede ser 0 si se usa infraestructura existente; confirmar.
Ref: https://github.com/tangodelta217/ACQC</x:t>
        </x:r>
      </x:text>
    </x:comment>
    <x:comment ref="G31" authorId="0">
      <x:text>
        <x:r>
          <x:t>SUPUESTO: Puede ser 0 si se usa infraestructura existente; confirmar.
Ref: https://github.com/tangodelta217/ACQC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€#,##0;[Red](€#,##0);&quot;-&quot;"/>
    <x:numFmt numFmtId="165" formatCode="0.0"/>
  </x:numFmts>
  <x:fonts count="11">
    <x:font>
      <x:sz val="11"/>
      <x:color theme="1"/>
      <x:name val="Calibri"/>
      <x:family val="2"/>
      <x:scheme val="minor"/>
    </x:font>
    <x:font>
      <x:b/>
      <x:sz val="16"/>
      <x:color rgb="00004682"/>
      <x:name val="Helvetica"/>
    </x:font>
    <x:font>
      <x:sz val="10"/>
      <x:color rgb="00666666"/>
      <x:name val="Times New Roman"/>
    </x:font>
    <x:font>
      <x:b/>
      <x:sz val="11"/>
      <x:color rgb="00FFFFFF"/>
      <x:name val="Helvetica"/>
    </x:font>
    <x:font>
      <x:b/>
      <x:sz val="10"/>
      <x:name val="Times New Roman"/>
    </x:font>
    <x:font>
      <x:sz val="10"/>
      <x:color rgb="00000000"/>
      <x:name val="Times New Roman"/>
    </x:font>
    <x:font>
      <x:sz val="10"/>
      <x:color rgb="000000FF"/>
      <x:name val="Times New Roman"/>
    </x:font>
    <x:font>
      <x:b/>
      <x:sz val="10"/>
      <x:color rgb="00666666"/>
      <x:name val="Times New Roman"/>
    </x:font>
    <x:font>
      <x:sz val="10"/>
      <x:color rgb="00008000"/>
      <x:name val="Times New Roman"/>
    </x:font>
    <x:font>
      <x:b/>
      <x:sz val="10"/>
      <x:color rgb="00004682"/>
      <x:name val="Times New Roman"/>
    </x:font>
    <x:font>
      <x:b/>
      <x:sz val="12"/>
      <x:color rgb="00004682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00004682"/>
      </x:patternFill>
    </x:fill>
    <x:fill>
      <x:patternFill patternType="solid">
        <x:fgColor rgb="00EAF2F8"/>
      </x:patternFill>
    </x:fill>
  </x:fills>
  <x:borders count="6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  <x:border>
      <x:left/>
      <x:right/>
      <x:top style="thin">
        <x:color rgb="00D0D0D0"/>
      </x:top>
      <x:bottom/>
      <x:diagonal/>
    </x:border>
    <x:border>
      <x:left/>
      <x:right style="thin">
        <x:color rgb="00D0D0D0"/>
      </x:right>
      <x:top style="thin">
        <x:color rgb="00D0D0D0"/>
      </x:top>
      <x:bottom/>
      <x:diagonal/>
    </x:border>
    <x:border>
      <x:left/>
      <x:right/>
      <x:top style="thin">
        <x:color rgb="00D0D0D0"/>
      </x:top>
      <x:bottom style="thin">
        <x:color rgb="00D0D0D0"/>
      </x:bottom>
      <x:diagonal/>
    </x:border>
    <x:border>
      <x:left/>
      <x:right style="thin">
        <x:color rgb="00D0D0D0"/>
      </x:right>
      <x:top style="thin">
        <x:color rgb="00D0D0D0"/>
      </x:top>
      <x:bottom style="thin">
        <x:color rgb="00D0D0D0"/>
      </x:bottom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Alignment="1">
      <x:alignment horizontal="left" vertical="center"/>
    </x:xf>
    <x:xf numFmtId="0" fontId="2" fillId="0" borderId="0" xfId="0" applyAlignment="1">
      <x:alignment horizontal="left" vertical="center" wrapText="1"/>
    </x:xf>
    <x:xf numFmtId="0" fontId="4" fillId="0" borderId="0" xfId="0" applyAlignment="1">
      <x:alignment horizontal="left" vertical="center" wrapText="1"/>
    </x:xf>
    <x:xf numFmtId="0" fontId="6" fillId="0" borderId="0" xfId="0" applyAlignment="1">
      <x:alignment horizontal="left" vertical="center" wrapText="1"/>
    </x:xf>
    <x:xf numFmtId="0" fontId="10" fillId="0" borderId="0" xfId="0"/>
    <x:xf numFmtId="0" fontId="3" fillId="2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5" fillId="0" borderId="1" xfId="0" applyAlignment="1">
      <x:alignment horizontal="left" vertical="center" wrapText="1"/>
    </x:xf>
    <x:xf numFmtId="164" fontId="4" fillId="0" borderId="1" xfId="0" applyAlignment="1">
      <x:alignment horizontal="right" vertical="center" wrapText="1"/>
    </x:xf>
    <x:xf numFmtId="2" fontId="4" fillId="0" borderId="1" xfId="0" applyAlignment="1">
      <x:alignment horizontal="right" vertical="center" wrapText="1"/>
    </x:xf>
    <x:xf numFmtId="165" fontId="4" fillId="0" borderId="1" xfId="0" applyAlignment="1">
      <x:alignment horizontal="right" vertical="center" wrapText="1"/>
    </x:xf>
    <x:xf numFmtId="0" fontId="10" fillId="0" borderId="0" xfId="0" applyAlignment="1">
      <x:alignment horizontal="left" vertical="center" wrapText="1"/>
    </x:xf>
    <x:xf numFmtId="164" fontId="8" fillId="0" borderId="1" xfId="0" applyAlignment="1">
      <x:alignment horizontal="right" vertical="center" wrapText="1"/>
    </x:xf>
    <x:xf numFmtId="0" fontId="2" fillId="0" borderId="1" xfId="0" applyAlignment="1">
      <x:alignment horizontal="left" vertical="center" wrapText="1"/>
    </x:xf>
    <x:xf numFmtId="2" fontId="5" fillId="0" borderId="1" xfId="0" applyAlignment="1">
      <x:alignment horizontal="right" vertical="center" wrapText="1"/>
    </x:xf>
    <x:xf numFmtId="165" fontId="5" fillId="0" borderId="1" xfId="0" applyAlignment="1">
      <x:alignment horizontal="right" vertical="center" wrapText="1"/>
    </x:xf>
    <x:xf numFmtId="1" fontId="8" fillId="0" borderId="1" xfId="0" applyAlignment="1">
      <x:alignment horizontal="right" vertical="center" wrapText="1"/>
    </x:xf>
    <x:xf numFmtId="165" fontId="8" fillId="0" borderId="1" xfId="0" applyAlignment="1">
      <x:alignment horizontal="right" vertical="center" wrapText="1"/>
    </x:xf>
    <x:xf numFmtId="0" fontId="4" fillId="0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1" fontId="6" fillId="0" borderId="1" xfId="0" applyAlignment="1">
      <x:alignment horizontal="right" vertical="center" wrapText="1"/>
    </x:xf>
    <x:xf numFmtId="0" fontId="7" fillId="0" borderId="1" xfId="0" applyAlignment="1">
      <x:alignment horizontal="center" vertical="center" wrapText="1"/>
    </x:xf>
    <x:xf numFmtId="0" fontId="8" fillId="0" borderId="1" xfId="0" applyAlignment="1">
      <x:alignment horizontal="left" vertical="center" wrapText="1"/>
    </x:xf>
    <x:xf numFmtId="165" fontId="6" fillId="0" borderId="1" xfId="0" applyAlignment="1">
      <x:alignment horizontal="right" vertical="center" wrapText="1"/>
    </x:xf>
    <x:xf numFmtId="164" fontId="6" fillId="0" borderId="1" xfId="0" applyAlignment="1">
      <x:alignment horizontal="right" vertical="center" wrapText="1"/>
    </x:xf>
    <x:xf numFmtId="0" fontId="9" fillId="0" borderId="1" xfId="0" applyAlignment="1">
      <x:alignment horizontal="center" vertical="center" wrapText="1"/>
    </x:xf>
    <x:xf numFmtId="2" fontId="6" fillId="0" borderId="1" xfId="0" applyAlignment="1">
      <x:alignment horizontal="right" vertical="center" wrapText="1"/>
    </x:xf>
    <x:xf numFmtId="2" fontId="8" fillId="0" borderId="1" xfId="0" applyAlignment="1">
      <x:alignment horizontal="right" vertical="center" wrapText="1"/>
    </x:xf>
    <x:xf numFmtId="0" fontId="2" fillId="0" borderId="1" xfId="0" applyAlignment="1">
      <x:alignment horizontal="center" vertical="center" wrapText="1"/>
    </x:xf>
    <x:xf numFmtId="164" fontId="5" fillId="0" borderId="1" xfId="0" applyAlignment="1">
      <x:alignment horizontal="right" vertical="center" wrapText="1"/>
    </x:xf>
    <x:xf numFmtId="0" fontId="4" fillId="0" borderId="1" xfId="0" applyAlignment="1">
      <x:alignment horizontal="left" vertical="center" wrapText="1"/>
    </x:xf>
    <x:xf numFmtId="0" fontId="0" fillId="0" borderId="1" xfId="0"/>
    <x:xf numFmtId="165" fontId="0" fillId="0" borderId="1" xfId="0" applyAlignment="1">
      <x:alignment horizontal="right" vertical="center" wrapText="1"/>
    </x:xf>
    <x:xf numFmtId="164" fontId="0" fillId="0" borderId="1" xfId="0" applyAlignment="1">
      <x:alignment horizontal="right" vertical="center" wrapText="1"/>
    </x:xf>
    <x:xf numFmtId="0" fontId="4" fillId="3" borderId="1" xfId="0" applyAlignment="1">
      <x:alignment horizontal="left" vertical="center" wrapText="1"/>
    </x:xf>
    <x:xf numFmtId="164" fontId="4" fillId="3" borderId="1" xfId="0" applyAlignment="1">
      <x:alignment horizontal="right" vertical="center" wrapText="1"/>
    </x:xf>
    <x:xf numFmtId="0" fontId="4" fillId="3" borderId="1" xfId="0" applyAlignment="1">
      <x:alignment horizontal="center" vertical="center" wrapText="1"/>
    </x:xf>
    <x:xf numFmtId="0" fontId="2" fillId="3" borderId="1" xfId="0" applyAlignment="1">
      <x:alignment horizontal="left" vertical="center" wrapText="1"/>
    </x:xf>
    <x:xf numFmtId="0" fontId="4" fillId="3" borderId="1" xfId="0"/>
    <x:xf numFmtId="0" fontId="10" fillId="3" borderId="0" xfId="0" applyAlignment="1">
      <x:alignment horizontal="left" vertical="center" wrapText="1"/>
    </x:xf>
    <x:xf numFmtId="0" fontId="0" fillId="0" borderId="1" xfId="0" applyAlignment="1">
      <x:alignment horizontal="left" vertical="center" wrapText="1"/>
    </x:xf>
    <x:xf numFmtId="1" fontId="5" fillId="0" borderId="1" xfId="0" applyAlignment="1">
      <x:alignment horizontal="right" vertical="center" wrapText="1"/>
    </x:xf>
    <x:xf numFmtId="164" fontId="4" fillId="0" borderId="1" xfId="0" applyAlignment="1">
      <x:alignment horizontal="right" vertical="center" wrapText="1"/>
    </x:xf>
    <x:xf numFmtId="165" fontId="4" fillId="0" borderId="1" xfId="0" applyAlignment="1">
      <x:alignment horizontal="right" vertical="center" wrapText="1"/>
    </x:xf>
    <x:xf numFmtId="164" fontId="8" fillId="0" borderId="1" xfId="0" applyAlignment="1">
      <x:alignment horizontal="right" vertical="center" wrapText="1"/>
    </x:xf>
    <x:xf numFmtId="165" fontId="5" fillId="0" borderId="1" xfId="0" applyAlignment="1">
      <x:alignment horizontal="right" vertical="center" wrapText="1"/>
    </x:xf>
    <x:xf numFmtId="165" fontId="8" fillId="0" borderId="1" xfId="0" applyAlignment="1">
      <x:alignment horizontal="right" vertical="center" wrapText="1"/>
    </x:xf>
    <x:xf numFmtId="165" fontId="6" fillId="0" borderId="1" xfId="0" applyAlignment="1">
      <x:alignment horizontal="right" vertical="center" wrapText="1"/>
    </x:xf>
    <x:xf numFmtId="164" fontId="6" fillId="0" borderId="1" xfId="0" applyAlignment="1">
      <x:alignment horizontal="right" vertical="center" wrapText="1"/>
    </x:xf>
    <x:xf numFmtId="164" fontId="5" fillId="0" borderId="1" xfId="0" applyAlignment="1">
      <x:alignment horizontal="right" vertical="center" wrapText="1"/>
    </x:xf>
    <x:xf numFmtId="165" fontId="0" fillId="0" borderId="1" xfId="0" applyAlignment="1">
      <x:alignment horizontal="right" vertical="center" wrapText="1"/>
    </x:xf>
    <x:xf numFmtId="164" fontId="0" fillId="0" borderId="1" xfId="0" applyAlignment="1">
      <x:alignment horizontal="right" vertical="center" wrapText="1"/>
    </x:xf>
    <x:xf numFmtId="164" fontId="4" fillId="3" borderId="1" xfId="0" applyAlignment="1">
      <x:alignment horizontal="right" vertical="center" wrapText="1"/>
    </x:xf>
  </x:cellXfs>
  <x:cellStyles count="1">
    <x:cellStyle name="Normal" xfId="0"/>
  </x:cellStyles>
  <x:dxfs count="2">
    <x:dxf>
      <x:fill>
        <x:patternFill>
          <x:bgColor rgb="00FFF2CC"/>
        </x:patternFill>
      </x:fill>
    </x:dxf>
    <x:dxf>
      <x:fill>
        <x:patternFill>
          <x:bgColor rgb="00F8D7DA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846d5381744ff" /><Relationship Type="http://schemas.openxmlformats.org/officeDocument/2006/relationships/theme" Target="/xl/theme/theme1.xml" Id="Rb4c7df4708f2458b" /><Relationship Type="http://schemas.openxmlformats.org/officeDocument/2006/relationships/sharedStrings" Target="/xl/sharedStrings.xml" Id="R4e8de48faadf45f5" /><Relationship Type="http://schemas.openxmlformats.org/officeDocument/2006/relationships/worksheet" Target="/xl/worksheets/sheet1.xml" Id="R26ffd0b0635c4bb0" /><Relationship Type="http://schemas.openxmlformats.org/officeDocument/2006/relationships/worksheet" Target="/xl/worksheets/sheet2.xml" Id="R21c1a444030649b0" /><Relationship Type="http://schemas.openxmlformats.org/officeDocument/2006/relationships/worksheet" Target="/xl/worksheets/sheet3.xml" Id="R85089cc3c4bf46a1" /><Relationship Type="http://schemas.openxmlformats.org/officeDocument/2006/relationships/worksheet" Target="/xl/worksheets/sheet4.xml" Id="R842deb57bd9a4f25" /><Relationship Type="http://schemas.openxmlformats.org/officeDocument/2006/relationships/worksheet" Target="/xl/worksheets/sheet5.xml" Id="R4ceb4b57a63b4d82" /><Relationship Type="http://schemas.openxmlformats.org/officeDocument/2006/relationships/worksheet" Target="/xl/worksheets/sheet6.xml" Id="Ra64489663c6b43ed" /><Relationship Type="http://schemas.openxmlformats.org/officeDocument/2006/relationships/worksheet" Target="/xl/worksheets/sheet7.xml" Id="Rac4fd36759004ee1" /><Relationship Type="http://schemas.openxmlformats.org/officeDocument/2006/relationships/worksheet" Target="/xl/worksheets/sheet8.xml" Id="R6e211177652d4afd" /><Relationship Type="http://schemas.microsoft.com/office/2017/10/relationships/person" Target="/xl/persons/person.xml" Id="R54b4f4a4aa7848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288076f82b4e1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Impacto (ΔNPV) por supuesto — Base ±20%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gapWidth val="150"/>
        <c:ser>
          <c:idx val="0"/>
          <c:order val="0"/>
          <c:tx>
            <c:strRef>
              <c:f>'Sensibilidad'!I31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'Sensibilidad'!$A$32:$A$36</c:f>
              <c:strCache>
                <c:ptCount val="0"/>
              </c:strCache>
            </c:strRef>
          </c:cat>
          <c:val>
            <c:numRef>
              <c:f>'Sensibilidad'!$I$32:$I$36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SerName val="0"/>
          <c:showCatName val="0"/>
          <c:showPercent val="0"/>
          <c:showBubbleSize val="0"/>
          <c: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288076f82b4e1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CQC" id="{F5DB81BC-7542-6489-6E35-71EACDCFA777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212bd13e62948b5" /><Relationship Type="http://schemas.openxmlformats.org/officeDocument/2006/relationships/vmlDrawing" Target="/xl/drawings/vmldrawing.vml" Id="R9180b15ec3f84c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e9f428d4cc3741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customWidth="1"/>
    <x:col min="2" max="2" width="22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</x:cols>
  <x:sheetData>
    <x:row r="1" ht="28" customHeight="1">
      <x:c r="A1" s="1" t="inlineStr">
        <x:is>
          <x:t xml:space="preserve">Business Case — ROI / Payback (ACQC Repsol Puertollano)</x:t>
        </x:is>
      </x:c>
    </x:row>
    <x:row r="2" ht="28" customHeight="1">
      <x:c r="A2" s="2" t="inlineStr">
        <x:is>
          <x:t xml:space="preserve">Modelo de ROI basado en supuestos explícitos y resultados esperados (no medidos). Ajustar con datos de historian/LIMS, QA y cotizaciones.</x:t>
        </x:is>
      </x:c>
    </x:row>
    <x:row r="4">
      <x:c r="A4" s="3" t="inlineStr">
        <x:is>
          <x:t xml:space="preserve">Escenario para vista rápida</x:t>
        </x:is>
      </x:c>
      <x:c r="B4" s="4" t="inlineStr">
        <x:is>
          <x:t xml:space="preserve">Base</x:t>
        </x:is>
      </x:c>
      <x:c r="C4" s="2" t="inlineStr">
        <x:is>
          <x:t xml:space="preserve">Nota: la tabla inferior calcula los 3 escenarios.</x:t>
        </x:is>
      </x:c>
    </x:row>
    <x:row r="6">
      <x:c r="A6" s="5" t="inlineStr">
        <x:is>
          <x:t xml:space="preserve">Vista rápida (escenario seleccionado)</x:t>
        </x:is>
      </x:c>
    </x:row>
    <x:row r="7">
      <x:c r="A7" s="6" t="inlineStr">
        <x:is>
          <x:t xml:space="preserve">Métrica</x:t>
        </x:is>
      </x:c>
      <x:c r="B7" s="6" t="inlineStr">
        <x:is>
          <x:t xml:space="preserve">Valor</x:t>
        </x:is>
      </x:c>
      <x:c r="C7" s="6" t="inlineStr">
        <x:is>
          <x:t xml:space="preserve"/>
        </x:is>
      </x:c>
      <x:c r="D7" s="6" t="inlineStr">
        <x:is>
          <x:t xml:space="preserve"/>
        </x:is>
      </x:c>
      <x:c r="E7" s="6" t="inlineStr">
        <x:is>
          <x:t xml:space="preserve"/>
        </x:is>
      </x:c>
      <x:c r="F7" s="6" t="inlineStr">
        <x:is>
          <x:t xml:space="preserve"/>
        </x:is>
      </x:c>
      <x:c r="G7" s="6" t="inlineStr">
        <x:is>
          <x:t xml:space="preserve"/>
        </x:is>
      </x:c>
      <x:c r="H7" s="6" t="inlineStr">
        <x:is>
          <x:t xml:space="preserve"/>
        </x:is>
      </x:c>
      <x:c r="I7" s="6" t="inlineStr">
        <x:is>
          <x:t xml:space="preserve"/>
        </x:is>
      </x:c>
    </x:row>
    <x:row r="8" ht="18" customHeight="1">
      <x:c r="A8" s="9" t="inlineStr">
        <x:is>
          <x:t xml:space="preserve">Beneficios anuales (total)</x:t>
        </x:is>
      </x:c>
      <x:c r="B8" s="44">
        <x:f>INDEX($B$22:$D$22,1, MATCH($B$4, $B$18:$D$18, 0))</x:f>
        <x:v>283061.6438356164</x:v>
      </x:c>
      <x:c r="C8" s="33" t="inlineStr">
        <x:is>
          <x:t xml:space="preserve"/>
        </x:is>
      </x:c>
      <x:c r="D8" s="33" t="inlineStr">
        <x:is>
          <x:t xml:space="preserve"/>
        </x:is>
      </x:c>
      <x:c r="E8" s="33" t="inlineStr">
        <x:is>
          <x:t xml:space="preserve"/>
        </x:is>
      </x:c>
      <x:c r="F8" s="33" t="inlineStr">
        <x:is>
          <x:t xml:space="preserve"/>
        </x:is>
      </x:c>
      <x:c r="G8" s="33" t="inlineStr">
        <x:is>
          <x:t xml:space="preserve"/>
        </x:is>
      </x:c>
      <x:c r="H8" s="33" t="inlineStr">
        <x:is>
          <x:t xml:space="preserve"/>
        </x:is>
      </x:c>
      <x:c r="I8" s="33" t="inlineStr">
        <x:is>
          <x:t xml:space="preserve"/>
        </x:is>
      </x:c>
    </x:row>
    <x:row r="9" ht="18" customHeight="1">
      <x:c r="A9" s="9" t="inlineStr">
        <x:is>
          <x:t xml:space="preserve">OPEX anual</x:t>
        </x:is>
      </x:c>
      <x:c r="B9" s="44">
        <x:f>INDEX($B$23:$D$23,1, MATCH($B$4, $B$18:$D$18, 0))</x:f>
        <x:v>70000</x:v>
      </x:c>
      <x:c r="C9" s="33" t="inlineStr">
        <x:is>
          <x:t xml:space="preserve"/>
        </x:is>
      </x:c>
      <x:c r="D9" s="33" t="inlineStr">
        <x:is>
          <x:t xml:space="preserve"/>
        </x:is>
      </x:c>
      <x:c r="E9" s="33" t="inlineStr">
        <x:is>
          <x:t xml:space="preserve"/>
        </x:is>
      </x:c>
      <x:c r="F9" s="33" t="inlineStr">
        <x:is>
          <x:t xml:space="preserve"/>
        </x:is>
      </x:c>
      <x:c r="G9" s="33" t="inlineStr">
        <x:is>
          <x:t xml:space="preserve"/>
        </x:is>
      </x:c>
      <x:c r="H9" s="33" t="inlineStr">
        <x:is>
          <x:t xml:space="preserve"/>
        </x:is>
      </x:c>
      <x:c r="I9" s="33" t="inlineStr">
        <x:is>
          <x:t xml:space="preserve"/>
        </x:is>
      </x:c>
    </x:row>
    <x:row r="10" ht="18" customHeight="1">
      <x:c r="A10" s="9" t="inlineStr">
        <x:is>
          <x:t xml:space="preserve">Beneficio neto anual (beneficios - OPEX)</x:t>
        </x:is>
      </x:c>
      <x:c r="B10" s="44">
        <x:f>INDEX($B$24:$D$24,1, MATCH($B$4, $B$18:$D$18, 0))</x:f>
        <x:v>213061.6438356164</x:v>
      </x:c>
      <x:c r="C10" s="33" t="inlineStr">
        <x:is>
          <x:t xml:space="preserve"/>
        </x:is>
      </x:c>
      <x:c r="D10" s="33" t="inlineStr">
        <x:is>
          <x:t xml:space="preserve"/>
        </x:is>
      </x:c>
      <x:c r="E10" s="33" t="inlineStr">
        <x:is>
          <x:t xml:space="preserve"/>
        </x:is>
      </x:c>
      <x:c r="F10" s="33" t="inlineStr">
        <x:is>
          <x:t xml:space="preserve"/>
        </x:is>
      </x:c>
      <x:c r="G10" s="33" t="inlineStr">
        <x:is>
          <x:t xml:space="preserve"/>
        </x:is>
      </x:c>
      <x:c r="H10" s="33" t="inlineStr">
        <x:is>
          <x:t xml:space="preserve"/>
        </x:is>
      </x:c>
      <x:c r="I10" s="33" t="inlineStr">
        <x:is>
          <x:t xml:space="preserve"/>
        </x:is>
      </x:c>
    </x:row>
    <x:row r="11" ht="18" customHeight="1">
      <x:c r="A11" s="9" t="inlineStr">
        <x:is>
          <x:t xml:space="preserve">CAPEX total</x:t>
        </x:is>
      </x:c>
      <x:c r="B11" s="44">
        <x:f>INDEX($B$25:$D$25,1, MATCH($B$4, $B$18:$D$18, 0))</x:f>
        <x:v>439300</x:v>
      </x:c>
      <x:c r="C11" s="33" t="inlineStr">
        <x:is>
          <x:t xml:space="preserve"/>
        </x:is>
      </x:c>
      <x:c r="D11" s="33" t="inlineStr">
        <x:is>
          <x:t xml:space="preserve"/>
        </x:is>
      </x:c>
      <x:c r="E11" s="33" t="inlineStr">
        <x:is>
          <x:t xml:space="preserve"/>
        </x:is>
      </x:c>
      <x:c r="F11" s="33" t="inlineStr">
        <x:is>
          <x:t xml:space="preserve"/>
        </x:is>
      </x:c>
      <x:c r="G11" s="33" t="inlineStr">
        <x:is>
          <x:t xml:space="preserve"/>
        </x:is>
      </x:c>
      <x:c r="H11" s="33" t="inlineStr">
        <x:is>
          <x:t xml:space="preserve"/>
        </x:is>
      </x:c>
      <x:c r="I11" s="33" t="inlineStr">
        <x:is>
          <x:t xml:space="preserve"/>
        </x:is>
      </x:c>
    </x:row>
    <x:row r="12" ht="18" customHeight="1">
      <x:c r="A12" s="9" t="inlineStr">
        <x:is>
          <x:t xml:space="preserve">Payback simple</x:t>
        </x:is>
      </x:c>
      <x:c r="B12" s="11">
        <x:f>INDEX($B$26:$D$26,1, MATCH($B$4, $B$18:$D$18, 0))</x:f>
        <x:v>2.0618446008936897</x:v>
      </x:c>
      <x:c r="C12" s="33" t="inlineStr">
        <x:is>
          <x:t xml:space="preserve"/>
        </x:is>
      </x:c>
      <x:c r="D12" s="33" t="inlineStr">
        <x:is>
          <x:t xml:space="preserve"/>
        </x:is>
      </x:c>
      <x:c r="E12" s="33" t="inlineStr">
        <x:is>
          <x:t xml:space="preserve"/>
        </x:is>
      </x:c>
      <x:c r="F12" s="33" t="inlineStr">
        <x:is>
          <x:t xml:space="preserve"/>
        </x:is>
      </x:c>
      <x:c r="G12" s="33" t="inlineStr">
        <x:is>
          <x:t xml:space="preserve"/>
        </x:is>
      </x:c>
      <x:c r="H12" s="33" t="inlineStr">
        <x:is>
          <x:t xml:space="preserve"/>
        </x:is>
      </x:c>
      <x:c r="I12" s="33" t="inlineStr">
        <x:is>
          <x:t xml:space="preserve"/>
        </x:is>
      </x:c>
    </x:row>
    <x:row r="13" ht="18" customHeight="1">
      <x:c r="A13" s="9" t="inlineStr">
        <x:is>
          <x:t xml:space="preserve">ROI anual simple</x:t>
        </x:is>
      </x:c>
      <x:c r="B13" s="45">
        <x:f>INDEX($B$27:$D$27,1, MATCH($B$4, $B$18:$D$18, 0))</x:f>
        <x:v>48.50026037687603</x:v>
      </x:c>
      <x:c r="C13" s="33" t="inlineStr">
        <x:is>
          <x:t xml:space="preserve"/>
        </x:is>
      </x:c>
      <x:c r="D13" s="33" t="inlineStr">
        <x:is>
          <x:t xml:space="preserve"/>
        </x:is>
      </x:c>
      <x:c r="E13" s="33" t="inlineStr">
        <x:is>
          <x:t xml:space="preserve"/>
        </x:is>
      </x:c>
      <x:c r="F13" s="33" t="inlineStr">
        <x:is>
          <x:t xml:space="preserve"/>
        </x:is>
      </x:c>
      <x:c r="G13" s="33" t="inlineStr">
        <x:is>
          <x:t xml:space="preserve"/>
        </x:is>
      </x:c>
      <x:c r="H13" s="33" t="inlineStr">
        <x:is>
          <x:t xml:space="preserve"/>
        </x:is>
      </x:c>
      <x:c r="I13" s="33" t="inlineStr">
        <x:is>
          <x:t xml:space="preserve"/>
        </x:is>
      </x:c>
    </x:row>
    <x:row r="14" ht="18" customHeight="1">
      <x:c r="A14" s="9" t="inlineStr">
        <x:is>
          <x:t xml:space="preserve">NPV (vida, descuento)</x:t>
        </x:is>
      </x:c>
      <x:c r="B14" s="44">
        <x:f>INDEX($B$30:$D$30,1, MATCH($B$4, $B$18:$D$18, 0))</x:f>
        <x:v>411393.3638588225</x:v>
      </x:c>
      <x:c r="C14" s="33" t="inlineStr">
        <x:is>
          <x:t xml:space="preserve"/>
        </x:is>
      </x:c>
      <x:c r="D14" s="33" t="inlineStr">
        <x:is>
          <x:t xml:space="preserve"/>
        </x:is>
      </x:c>
      <x:c r="E14" s="33" t="inlineStr">
        <x:is>
          <x:t xml:space="preserve"/>
        </x:is>
      </x:c>
      <x:c r="F14" s="33" t="inlineStr">
        <x:is>
          <x:t xml:space="preserve"/>
        </x:is>
      </x:c>
      <x:c r="G14" s="33" t="inlineStr">
        <x:is>
          <x:t xml:space="preserve"/>
        </x:is>
      </x:c>
      <x:c r="H14" s="33" t="inlineStr">
        <x:is>
          <x:t xml:space="preserve"/>
        </x:is>
      </x:c>
      <x:c r="I14" s="33" t="inlineStr">
        <x:is>
          <x:t xml:space="preserve"/>
        </x:is>
      </x:c>
    </x:row>
    <x:row r="17" ht="20" customHeight="1">
      <x:c r="A17" s="13" t="inlineStr">
        <x:is>
          <x:t xml:space="preserve">Comparativa por escenario</x:t>
        </x:is>
      </x:c>
    </x:row>
    <x:row r="18">
      <x:c r="A18" s="6" t="inlineStr">
        <x:is>
          <x:t xml:space="preserve">Métrica</x:t>
        </x:is>
      </x:c>
      <x:c r="B18" s="6" t="inlineStr">
        <x:is>
          <x:t xml:space="preserve">Conservador</x:t>
        </x:is>
      </x:c>
      <x:c r="C18" s="6" t="inlineStr">
        <x:is>
          <x:t xml:space="preserve">Base</x:t>
        </x:is>
      </x:c>
      <x:c r="D18" s="6" t="inlineStr">
        <x:is>
          <x:t xml:space="preserve">Ambicioso</x:t>
        </x:is>
      </x:c>
      <x:c r="E18" s="6" t="inlineStr">
        <x:is>
          <x:t xml:space="preserve">Notas</x:t>
        </x:is>
      </x:c>
      <x:c r="F18" s="7" t="n"/>
      <x:c r="G18" s="7" t="n"/>
      <x:c r="H18" s="7" t="n"/>
      <x:c r="I18" s="8" t="n"/>
    </x:row>
    <x:row r="19" ht="18" customHeight="1">
      <x:c r="A19" s="9" t="inlineStr">
        <x:is>
          <x:t xml:space="preserve">Beneficios energía</x:t>
        </x:is>
      </x:c>
      <x:c r="B19" s="46">
        <x:f>Beneficios_Energia!B13</x:f>
        <x:v>5760</x:v>
      </x:c>
      <x:c r="C19" s="46">
        <x:f>Beneficios_Energia!C13</x:f>
        <x:v>72000</x:v>
      </x:c>
      <x:c r="D19" s="46">
        <x:f>Beneficios_Energia!D13</x:f>
        <x:v>350000.00000000006</x:v>
      </x:c>
      <x:c r="E19" s="15" t="inlineStr">
        <x:is>
          <x:t xml:space="preserve">Optimización segura: ahorro energético esperado (aplica adopción).</x:t>
        </x:is>
      </x:c>
      <x:c r="F19" s="7" t="n"/>
      <x:c r="G19" s="7" t="n"/>
      <x:c r="H19" s="7" t="n"/>
      <x:c r="I19" s="8" t="n"/>
    </x:row>
    <x:row r="20" ht="18" customHeight="1">
      <x:c r="A20" s="9" t="inlineStr">
        <x:is>
          <x:t xml:space="preserve">Beneficios calidad</x:t>
        </x:is>
      </x:c>
      <x:c r="B20" s="46">
        <x:f>Beneficios_Calidad!B12</x:f>
        <x:v>7200</x:v>
      </x:c>
      <x:c r="C20" s="46">
        <x:f>Beneficios_Calidad!C12</x:f>
        <x:v>67500</x:v>
      </x:c>
      <x:c r="D20" s="46">
        <x:f>Beneficios_Calidad!D12</x:f>
        <x:v>468750</x:v>
      </x:c>
      <x:c r="E20" s="15" t="inlineStr">
        <x:is>
          <x:t xml:space="preserve">Estimación por reducción de scrap/rework (validar con QA).</x:t>
        </x:is>
      </x:c>
      <x:c r="F20" s="7" t="n"/>
      <x:c r="G20" s="7" t="n"/>
      <x:c r="H20" s="7" t="n"/>
      <x:c r="I20" s="8" t="n"/>
    </x:row>
    <x:row r="21" ht="18" customHeight="1">
      <x:c r="A21" s="9" t="inlineStr">
        <x:is>
          <x:t xml:space="preserve">Beneficios disponibilidad+rto</x:t>
        </x:is>
      </x:c>
      <x:c r="B21" s="46">
        <x:f>Beneficios_Disponibilidad!B16</x:f>
        <x:v>11243.835616438357</x:v>
      </x:c>
      <x:c r="C21" s="46">
        <x:f>Beneficios_Disponibilidad!C16</x:f>
        <x:v>143561.64383561644</x:v>
      </x:c>
      <x:c r="D21" s="46">
        <x:f>Beneficios_Disponibilidad!D16</x:f>
        <x:v>818264.8401826484</x:v>
      </x:c>
      <x:c r="E21" s="15" t="inlineStr">
        <x:is>
          <x:t xml:space="preserve">Incluye reducción de downtime + mejora throughput (aplica adopción).</x:t>
        </x:is>
      </x:c>
      <x:c r="F21" s="7" t="n"/>
      <x:c r="G21" s="7" t="n"/>
      <x:c r="H21" s="7" t="n"/>
      <x:c r="I21" s="8" t="n"/>
    </x:row>
    <x:row r="22" ht="18" customHeight="1">
      <x:c r="A22" s="9" t="inlineStr">
        <x:is>
          <x:t xml:space="preserve">Beneficios anuales (total)</x:t>
        </x:is>
      </x:c>
      <x:c r="B22" s="44">
        <x:f>B19+B20+B21</x:f>
        <x:v>24203.83561643836</x:v>
      </x:c>
      <x:c r="C22" s="44">
        <x:f>C19+C20+C21</x:f>
        <x:v>283061.6438356164</x:v>
      </x:c>
      <x:c r="D22" s="44">
        <x:f>D19+D20+D21</x:f>
        <x:v>1637014.8401826485</x:v>
      </x:c>
      <x:c r="E22" s="15" t="inlineStr">
        <x:is>
          <x:t xml:space="preserve"/>
        </x:is>
      </x:c>
      <x:c r="F22" s="7" t="n"/>
      <x:c r="G22" s="7" t="n"/>
      <x:c r="H22" s="7" t="n"/>
      <x:c r="I22" s="8" t="n"/>
    </x:row>
    <x:row r="23" ht="18" customHeight="1">
      <x:c r="A23" s="9" t="inlineStr">
        <x:is>
          <x:t xml:space="preserve">OPEX anual</x:t>
        </x:is>
      </x:c>
      <x:c r="B23" s="46">
        <x:f>Costes!B21</x:f>
        <x:v>31000</x:v>
      </x:c>
      <x:c r="C23" s="46">
        <x:f>Costes!C21</x:f>
        <x:v>70000</x:v>
      </x:c>
      <x:c r="D23" s="46">
        <x:f>Costes!D21</x:f>
        <x:v>120000</x:v>
      </x:c>
      <x:c r="E23" s="15" t="inlineStr">
        <x:is>
          <x:t xml:space="preserve"/>
        </x:is>
      </x:c>
      <x:c r="F23" s="7" t="n"/>
      <x:c r="G23" s="7" t="n"/>
      <x:c r="H23" s="7" t="n"/>
      <x:c r="I23" s="8" t="n"/>
    </x:row>
    <x:row r="24" ht="18" customHeight="1">
      <x:c r="A24" s="9" t="inlineStr">
        <x:is>
          <x:t xml:space="preserve">Beneficio neto anual</x:t>
        </x:is>
      </x:c>
      <x:c r="B24" s="44">
        <x:f>B22-B23</x:f>
        <x:v>-6796.164383561641</x:v>
      </x:c>
      <x:c r="C24" s="44">
        <x:f>C22-C23</x:f>
        <x:v>213061.6438356164</x:v>
      </x:c>
      <x:c r="D24" s="44">
        <x:f>D22-D23</x:f>
        <x:v>1517014.8401826485</x:v>
      </x:c>
      <x:c r="E24" s="15" t="inlineStr">
        <x:is>
          <x:t xml:space="preserve"/>
        </x:is>
      </x:c>
      <x:c r="F24" s="7" t="n"/>
      <x:c r="G24" s="7" t="n"/>
      <x:c r="H24" s="7" t="n"/>
      <x:c r="I24" s="8" t="n"/>
    </x:row>
    <x:row r="25" ht="18" customHeight="1">
      <x:c r="A25" s="9" t="inlineStr">
        <x:is>
          <x:t xml:space="preserve">CAPEX total</x:t>
        </x:is>
      </x:c>
      <x:c r="B25" s="46">
        <x:f>Costes!B13</x:f>
        <x:v>237600</x:v>
      </x:c>
      <x:c r="C25" s="46">
        <x:f>Costes!C13</x:f>
        <x:v>439300</x:v>
      </x:c>
      <x:c r="D25" s="46">
        <x:f>Costes!D13</x:f>
        <x:v>726000</x:v>
      </x:c>
      <x:c r="E25" s="15" t="inlineStr">
        <x:is>
          <x:t xml:space="preserve"/>
        </x:is>
      </x:c>
      <x:c r="F25" s="7" t="n"/>
      <x:c r="G25" s="7" t="n"/>
      <x:c r="H25" s="7" t="n"/>
      <x:c r="I25" s="8" t="n"/>
    </x:row>
    <x:row r="26" ht="18" customHeight="1">
      <x:c r="A26" s="9" t="inlineStr">
        <x:is>
          <x:t xml:space="preserve">Payback simple</x:t>
        </x:is>
      </x:c>
      <x:c r="B26" s="16" t="str">
        <x:f>IF(B24&lt;=0,"—",B25/B24)</x:f>
        <x:v>—</x:v>
      </x:c>
      <x:c r="C26" s="16">
        <x:f>IF(C24&lt;=0,"—",C25/C24)</x:f>
        <x:v>2.0618446008936897</x:v>
      </x:c>
      <x:c r="D26" s="16">
        <x:f>IF(D24&lt;=0,"—",D25/D24)</x:f>
        <x:v>0.47857145544640134</x:v>
      </x:c>
      <x:c r="E26" s="15" t="inlineStr">
        <x:is>
          <x:t xml:space="preserve"/>
        </x:is>
      </x:c>
      <x:c r="F26" s="7" t="n"/>
      <x:c r="G26" s="7" t="n"/>
      <x:c r="H26" s="7" t="n"/>
      <x:c r="I26" s="8" t="n"/>
    </x:row>
    <x:row r="27" ht="18" customHeight="1">
      <x:c r="A27" s="9" t="inlineStr">
        <x:is>
          <x:t xml:space="preserve">ROI anual simple</x:t>
        </x:is>
      </x:c>
      <x:c r="B27" s="47">
        <x:f>IF(B25=0,"—",B24/B25*100)</x:f>
        <x:v>-2.860338545270051</x:v>
      </x:c>
      <x:c r="C27" s="47">
        <x:f>IF(C25=0,"—",C24/C25*100)</x:f>
        <x:v>48.50026037687603</x:v>
      </x:c>
      <x:c r="D27" s="47">
        <x:f>IF(D25=0,"—",D24/D25*100)</x:f>
        <x:v>208.95521214637034</x:v>
      </x:c>
      <x:c r="E27" s="15" t="inlineStr">
        <x:is>
          <x:t xml:space="preserve"/>
        </x:is>
      </x:c>
      <x:c r="F27" s="7" t="n"/>
      <x:c r="G27" s="7" t="n"/>
      <x:c r="H27" s="7" t="n"/>
      <x:c r="I27" s="8" t="n"/>
    </x:row>
    <x:row r="28" ht="18" customHeight="1">
      <x:c r="A28" s="9" t="inlineStr">
        <x:is>
          <x:t xml:space="preserve">Vida económica (años)</x:t>
        </x:is>
      </x:c>
      <x:c r="B28" s="18">
        <x:f>INDEX(Supuestos!$E$4:$G$31, MATCH("K03", Supuestos!$A$4:$A$31, 0), MATCH(B$18, Supuestos!$E$3:$G$3, 0))</x:f>
        <x:v>3</x:v>
      </x:c>
      <x:c r="C28" s="18">
        <x:f>INDEX(Supuestos!$E$4:$G$31, MATCH("K03", Supuestos!$A$4:$A$31, 0), MATCH(C$18, Supuestos!$E$3:$G$3, 0))</x:f>
        <x:v>5</x:v>
      </x:c>
      <x:c r="D28" s="18">
        <x:f>INDEX(Supuestos!$E$4:$G$31, MATCH("K03", Supuestos!$A$4:$A$31, 0), MATCH(D$18, Supuestos!$E$3:$G$3, 0))</x:f>
        <x:v>7</x:v>
      </x:c>
      <x:c r="E28" s="15" t="inlineStr">
        <x:is>
          <x:t xml:space="preserve"/>
        </x:is>
      </x:c>
      <x:c r="F28" s="7" t="n"/>
      <x:c r="G28" s="7" t="n"/>
      <x:c r="H28" s="7" t="n"/>
      <x:c r="I28" s="8" t="n"/>
    </x:row>
    <x:row r="29" ht="18" customHeight="1">
      <x:c r="A29" s="9" t="inlineStr">
        <x:is>
          <x:t xml:space="preserve">Tasa de descuento</x:t>
        </x:is>
      </x:c>
      <x:c r="B29" s="48">
        <x:f>INDEX(Supuestos!$E$4:$G$31, MATCH("K04", Supuestos!$A$4:$A$31, 0), MATCH(B$18, Supuestos!$E$3:$G$3, 0))</x:f>
        <x:v>10</x:v>
      </x:c>
      <x:c r="C29" s="48">
        <x:f>INDEX(Supuestos!$E$4:$G$31, MATCH("K04", Supuestos!$A$4:$A$31, 0), MATCH(C$18, Supuestos!$E$3:$G$3, 0))</x:f>
        <x:v>8</x:v>
      </x:c>
      <x:c r="D29" s="48">
        <x:f>INDEX(Supuestos!$E$4:$G$31, MATCH("K04", Supuestos!$A$4:$A$31, 0), MATCH(D$18, Supuestos!$E$3:$G$3, 0))</x:f>
        <x:v>6</x:v>
      </x:c>
      <x:c r="E29" s="15" t="inlineStr">
        <x:is>
          <x:t xml:space="preserve"/>
        </x:is>
      </x:c>
      <x:c r="F29" s="7" t="n"/>
      <x:c r="G29" s="7" t="n"/>
      <x:c r="H29" s="7" t="n"/>
      <x:c r="I29" s="8" t="n"/>
    </x:row>
    <x:row r="30" ht="18" customHeight="1">
      <x:c r="A30" s="9" t="inlineStr">
        <x:is>
          <x:t xml:space="preserve">NPV</x:t>
        </x:is>
      </x:c>
      <x:c r="B30" s="44" t="str">
        <x:f>IF(B24&lt;=0,"—",-(B25)+IF(B29=0,B24*B28,B24*(1-(1+B29/100)^(-B28))/(B29/100)))</x:f>
        <x:v>—</x:v>
      </x:c>
      <x:c r="C30" s="44">
        <x:f>IF(C24&lt;=0,"—",-(C25)+IF(C29=0,C24*C28,C24*(1-(1+C29/100)^(-C28))/(C29/100)))</x:f>
        <x:v>411393.3638588225</x:v>
      </x:c>
      <x:c r="D30" s="44">
        <x:f>IF(D24&lt;=0,"—",-(D25)+IF(D29=0,D24*D28,D24*(1-(1+D29/100)^(-D28))/(D29/100)))</x:f>
        <x:v>7742555.4874754455</x:v>
      </x:c>
      <x:c r="E30" s="15" t="inlineStr">
        <x:is>
          <x:t xml:space="preserve">NPV con beneficio neto anual constante (simplificación).</x:t>
        </x:is>
      </x:c>
      <x:c r="F30" s="7" t="n"/>
      <x:c r="G30" s="7" t="n"/>
      <x:c r="H30" s="7" t="n"/>
      <x:c r="I30" s="8" t="n"/>
    </x:row>
  </x:sheetData>
  <x:mergeCells>
    <x:mergeCell ref="E30:I30"/>
    <x:mergeCell ref="E21:I21"/>
    <x:mergeCell ref="E29:I29"/>
    <x:mergeCell ref="A2:I2"/>
    <x:mergeCell ref="E20:I20"/>
    <x:mergeCell ref="E24:I24"/>
    <x:mergeCell ref="E28:I28"/>
    <x:mergeCell ref="C4:I4"/>
    <x:mergeCell ref="E25:I25"/>
    <x:mergeCell ref="A17:I17"/>
    <x:mergeCell ref="E19:I19"/>
    <x:mergeCell ref="A1:I1"/>
    <x:mergeCell ref="E27:I27"/>
    <x:mergeCell ref="E23:I23"/>
    <x:mergeCell ref="A6:I6"/>
    <x:mergeCell ref="E22:I22"/>
    <x:mergeCell ref="E26:I26"/>
    <x:mergeCell ref="E18:I18"/>
  </x:mergeCells>
  <x:conditionalFormatting sqref="B26:D26">
    <x:cfRule type="expression" dxfId="0" priority="1">
      <x:formula>AND(ISNUMBER(B26),B26&gt;3)</x:formula>
    </x:cfRule>
  </x:conditionalFormatting>
  <x:conditionalFormatting sqref="B30:D30">
    <x:cfRule type="expression" dxfId="1" priority="2">
      <x:formula>AND(ISNUMBER(B30),B30&lt;0)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customWidth="1"/>
    <x:col min="2" max="2" width="16" customWidth="1"/>
    <x:col min="3" max="3" width="44" customWidth="1"/>
    <x:col min="4" max="4" width="10" customWidth="1"/>
    <x:col min="5" max="5" width="14" customWidth="1"/>
    <x:col min="6" max="6" width="14" customWidth="1"/>
    <x:col min="7" max="7" width="14" customWidth="1"/>
    <x:col min="8" max="8" width="10" customWidth="1"/>
    <x:col min="9" max="9" width="46" customWidth="1"/>
    <x:col min="10" max="10" width="18" customWidth="1"/>
    <x:col min="11" max="11" width="30" customWidth="1"/>
  </x:cols>
  <x:sheetData>
    <x:row r="1" ht="28" customHeight="1">
      <x:c r="A1" s="1" t="inlineStr">
        <x:is>
          <x:t xml:space="preserve">Supuestos (Single Source of Truth) — ACQC Business Case</x:t>
        </x:is>
      </x:c>
    </x:row>
    <x:row r="2" ht="20" customHeight="1">
      <x:c r="A2" s="2" t="inlineStr">
        <x:is>
          <x:t xml:space="preserve">Regla: todo número usado en el modelo debe derivarse de esta hoja y tener fuente o supuesto explicitado.</x:t>
        </x:is>
      </x:c>
    </x:row>
    <x:row r="3" ht="22" customHeight="1">
      <x:c r="A3" s="6" t="inlineStr">
        <x:is>
          <x:t xml:space="preserve">ID</x:t>
        </x:is>
      </x:c>
      <x:c r="B3" s="6" t="inlineStr">
        <x:is>
          <x:t xml:space="preserve">Categoría</x:t>
        </x:is>
      </x:c>
      <x:c r="C3" s="6" t="inlineStr">
        <x:is>
          <x:t xml:space="preserve">Parámetro</x:t>
        </x:is>
      </x:c>
      <x:c r="D3" s="6" t="inlineStr">
        <x:is>
          <x:t xml:space="preserve">Unidad</x:t>
        </x:is>
      </x:c>
      <x:c r="E3" s="6" t="inlineStr">
        <x:is>
          <x:t xml:space="preserve">Conservador</x:t>
        </x:is>
      </x:c>
      <x:c r="F3" s="6" t="inlineStr">
        <x:is>
          <x:t xml:space="preserve">Base</x:t>
        </x:is>
      </x:c>
      <x:c r="G3" s="6" t="inlineStr">
        <x:is>
          <x:t xml:space="preserve">Ambicioso</x:t>
        </x:is>
      </x:c>
      <x:c r="H3" s="6" t="inlineStr">
        <x:is>
          <x:t xml:space="preserve">Tipo</x:t>
        </x:is>
      </x:c>
      <x:c r="I3" s="6" t="inlineStr">
        <x:is>
          <x:t xml:space="preserve">Fuente/Justificación</x:t>
        </x:is>
      </x:c>
      <x:c r="J3" s="6" t="inlineStr">
        <x:is>
          <x:t xml:space="preserve">Responsable</x:t>
        </x:is>
      </x:c>
      <x:c r="K3" s="6" t="inlineStr">
        <x:is>
          <x:t xml:space="preserve">URL/Referencia</x:t>
        </x:is>
      </x:c>
    </x:row>
    <x:row r="4" ht="18" customHeight="1">
      <x:c r="A4" s="20" t="inlineStr">
        <x:is>
          <x:t xml:space="preserve">K00</x:t>
        </x:is>
      </x:c>
      <x:c r="B4" s="9" t="inlineStr">
        <x:is>
          <x:t xml:space="preserve">Constantes</x:t>
        </x:is>
      </x:c>
      <x:c r="C4" s="9" t="inlineStr">
        <x:is>
          <x:t xml:space="preserve">Horas por año</x:t>
        </x:is>
      </x:c>
      <x:c r="D4" s="21" t="inlineStr">
        <x:is>
          <x:t xml:space="preserve">h/año</x:t>
        </x:is>
      </x:c>
      <x:c r="E4" s="22" t="n">
        <x:v>8760</x:v>
      </x:c>
      <x:c r="F4" s="22" t="n">
        <x:v>8760</x:v>
      </x:c>
      <x:c r="G4" s="22" t="n">
        <x:v>8760</x:v>
      </x:c>
      <x:c r="H4" s="23" t="inlineStr">
        <x:is>
          <x:t xml:space="preserve">SUPUESTO</x:t>
        </x:is>
      </x:c>
      <x:c r="I4" s="9" t="inlineStr">
        <x:is>
          <x:t xml:space="preserve">Constante de calendario (sin año específico).</x:t>
        </x:is>
      </x:c>
      <x:c r="J4" s="9" t="inlineStr">
        <x:is>
          <x:t xml:space="preserve">TFM</x:t>
        </x:is>
      </x:c>
      <x:c r="K4" s="24" t="inlineStr">
        <x:is>
          <x:t xml:space="preserve">https://github.com/tangodelta217/ACQC</x:t>
        </x:is>
      </x:c>
    </x:row>
    <x:row r="5" ht="18" customHeight="1">
      <x:c r="A5" s="20" t="inlineStr">
        <x:is>
          <x:t xml:space="preserve">K01</x:t>
        </x:is>
      </x:c>
      <x:c r="B5" s="9" t="inlineStr">
        <x:is>
          <x:t xml:space="preserve">Constantes</x:t>
        </x:is>
      </x:c>
      <x:c r="C5" s="9" t="inlineStr">
        <x:is>
          <x:t xml:space="preserve">Factor sensibilidad (bajo)</x:t>
        </x:is>
      </x:c>
      <x:c r="D5" s="21" t="inlineStr">
        <x:is>
          <x:t xml:space="preserve">x</x:t>
        </x:is>
      </x:c>
      <x:c r="E5" s="49" t="n">
        <x:v>0.8</x:v>
      </x:c>
      <x:c r="F5" s="49" t="n">
        <x:v>0.8</x:v>
      </x:c>
      <x:c r="G5" s="49" t="n">
        <x:v>0.8</x:v>
      </x:c>
      <x:c r="H5" s="23" t="inlineStr">
        <x:is>
          <x:t xml:space="preserve">SUPUESTO</x:t>
        </x:is>
      </x:c>
      <x:c r="I5" s="9" t="inlineStr">
        <x:is>
          <x:t xml:space="preserve">Definición interna: ±20% (bajo).</x:t>
        </x:is>
      </x:c>
      <x:c r="J5" s="9" t="inlineStr">
        <x:is>
          <x:t xml:space="preserve">TFM</x:t>
        </x:is>
      </x:c>
      <x:c r="K5" s="24" t="inlineStr">
        <x:is>
          <x:t xml:space="preserve">https://github.com/tangodelta217/ACQC</x:t>
        </x:is>
      </x:c>
    </x:row>
    <x:row r="6" ht="18" customHeight="1">
      <x:c r="A6" s="20" t="inlineStr">
        <x:is>
          <x:t xml:space="preserve">K02</x:t>
        </x:is>
      </x:c>
      <x:c r="B6" s="9" t="inlineStr">
        <x:is>
          <x:t xml:space="preserve">Constantes</x:t>
        </x:is>
      </x:c>
      <x:c r="C6" s="9" t="inlineStr">
        <x:is>
          <x:t xml:space="preserve">Factor sensibilidad (alto)</x:t>
        </x:is>
      </x:c>
      <x:c r="D6" s="21" t="inlineStr">
        <x:is>
          <x:t xml:space="preserve">x</x:t>
        </x:is>
      </x:c>
      <x:c r="E6" s="49" t="n">
        <x:v>1.2</x:v>
      </x:c>
      <x:c r="F6" s="49" t="n">
        <x:v>1.2</x:v>
      </x:c>
      <x:c r="G6" s="49" t="n">
        <x:v>1.2</x:v>
      </x:c>
      <x:c r="H6" s="23" t="inlineStr">
        <x:is>
          <x:t xml:space="preserve">SUPUESTO</x:t>
        </x:is>
      </x:c>
      <x:c r="I6" s="9" t="inlineStr">
        <x:is>
          <x:t xml:space="preserve">Definición interna: ±20% (alto).</x:t>
        </x:is>
      </x:c>
      <x:c r="J6" s="9" t="inlineStr">
        <x:is>
          <x:t xml:space="preserve">TFM</x:t>
        </x:is>
      </x:c>
      <x:c r="K6" s="24" t="inlineStr">
        <x:is>
          <x:t xml:space="preserve">https://github.com/tangodelta217/ACQC</x:t>
        </x:is>
      </x:c>
    </x:row>
    <x:row r="7" ht="18" customHeight="1">
      <x:c r="A7" s="20" t="inlineStr">
        <x:is>
          <x:t xml:space="preserve">K03</x:t>
        </x:is>
      </x:c>
      <x:c r="B7" s="9" t="inlineStr">
        <x:is>
          <x:t xml:space="preserve">Finanzas</x:t>
        </x:is>
      </x:c>
      <x:c r="C7" s="9" t="inlineStr">
        <x:is>
          <x:t xml:space="preserve">Vida económica del caso</x:t>
        </x:is>
      </x:c>
      <x:c r="D7" s="21" t="inlineStr">
        <x:is>
          <x:t xml:space="preserve">años</x:t>
        </x:is>
      </x:c>
      <x:c r="E7" s="22" t="n">
        <x:v>3</x:v>
      </x:c>
      <x:c r="F7" s="22" t="n">
        <x:v>5</x:v>
      </x:c>
      <x:c r="G7" s="22" t="n">
        <x:v>7</x:v>
      </x:c>
      <x:c r="H7" s="23" t="inlineStr">
        <x:is>
          <x:t xml:space="preserve">SUPUESTO</x:t>
        </x:is>
      </x:c>
      <x:c r="I7" s="9" t="inlineStr">
        <x:is>
          <x:t xml:space="preserve">Supuesto estándar para pilotos industriales; ajustar a política financiera.</x:t>
        </x:is>
      </x:c>
      <x:c r="J7" s="9" t="inlineStr">
        <x:is>
          <x:t xml:space="preserve">Finanzas</x:t>
        </x:is>
      </x:c>
      <x:c r="K7" s="24" t="inlineStr">
        <x:is>
          <x:t xml:space="preserve">https://github.com/tangodelta217/ACQC</x:t>
        </x:is>
      </x:c>
    </x:row>
    <x:row r="8" ht="18" customHeight="1">
      <x:c r="A8" s="20" t="inlineStr">
        <x:is>
          <x:t xml:space="preserve">K04</x:t>
        </x:is>
      </x:c>
      <x:c r="B8" s="9" t="inlineStr">
        <x:is>
          <x:t xml:space="preserve">Finanzas</x:t>
        </x:is>
      </x:c>
      <x:c r="C8" s="9" t="inlineStr">
        <x:is>
          <x:t xml:space="preserve">Tasa de descuento (WACC/CoC)</x:t>
        </x:is>
      </x:c>
      <x:c r="D8" s="21" t="inlineStr">
        <x:is>
          <x:t xml:space="preserve">%</x:t>
        </x:is>
      </x:c>
      <x:c r="E8" s="49" t="n">
        <x:v>10</x:v>
      </x:c>
      <x:c r="F8" s="49" t="n">
        <x:v>8</x:v>
      </x:c>
      <x:c r="G8" s="49" t="n">
        <x:v>6</x:v>
      </x:c>
      <x:c r="H8" s="23" t="inlineStr">
        <x:is>
          <x:t xml:space="preserve">SUPUESTO</x:t>
        </x:is>
      </x:c>
      <x:c r="I8" s="9" t="inlineStr">
        <x:is>
          <x:t xml:space="preserve">Supuesto inicial; reemplazar por tasa corporativa.</x:t>
        </x:is>
      </x:c>
      <x:c r="J8" s="9" t="inlineStr">
        <x:is>
          <x:t xml:space="preserve">Finanzas</x:t>
        </x:is>
      </x:c>
      <x:c r="K8" s="24" t="inlineStr">
        <x:is>
          <x:t xml:space="preserve">https://github.com/tangodelta217/ACQC</x:t>
        </x:is>
      </x:c>
    </x:row>
    <x:row r="9" ht="18" customHeight="1">
      <x:c r="A9" s="20" t="inlineStr">
        <x:is>
          <x:t xml:space="preserve">A01</x:t>
        </x:is>
      </x:c>
      <x:c r="B9" s="9" t="inlineStr">
        <x:is>
          <x:t xml:space="preserve">Operación</x:t>
        </x:is>
      </x:c>
      <x:c r="C9" s="9" t="inlineStr">
        <x:is>
          <x:t xml:space="preserve">Adopción efectiva de recomendaciones (human-in-the-loop)</x:t>
        </x:is>
      </x:c>
      <x:c r="D9" s="21" t="inlineStr">
        <x:is>
          <x:t xml:space="preserve">%</x:t>
        </x:is>
      </x:c>
      <x:c r="E9" s="49" t="n">
        <x:v>40</x:v>
      </x:c>
      <x:c r="F9" s="49" t="n">
        <x:v>60</x:v>
      </x:c>
      <x:c r="G9" s="49" t="n">
        <x:v>80</x:v>
      </x:c>
      <x:c r="H9" s="23" t="inlineStr">
        <x:is>
          <x:t xml:space="preserve">SUPUESTO</x:t>
        </x:is>
      </x:c>
      <x:c r="I9" s="9" t="inlineStr">
        <x:is>
          <x:t xml:space="preserve">Modo asesor con operador en el bucle; adopción parcial es realista.</x:t>
        </x:is>
      </x:c>
      <x:c r="J9" s="9" t="inlineStr">
        <x:is>
          <x:t xml:space="preserve">Operación</x:t>
        </x:is>
      </x:c>
      <x:c r="K9" s="24" t="inlineStr">
        <x:is>
          <x:t xml:space="preserve">https://github.com/tangodelta217/ACQC</x:t>
        </x:is>
      </x:c>
    </x:row>
    <x:row r="10" ht="18" customHeight="1">
      <x:c r="A10" s="20" t="inlineStr">
        <x:is>
          <x:t xml:space="preserve">A02</x:t>
        </x:is>
      </x:c>
      <x:c r="B10" s="9" t="inlineStr">
        <x:is>
          <x:t xml:space="preserve">Operación</x:t>
        </x:is>
      </x:c>
      <x:c r="C10" s="9" t="inlineStr">
        <x:is>
          <x:t xml:space="preserve">Horas de downtime anual atribuible a incidencias de medición/calidad</x:t>
        </x:is>
      </x:c>
      <x:c r="D10" s="21" t="inlineStr">
        <x:is>
          <x:t xml:space="preserve">h/año</x:t>
        </x:is>
      </x:c>
      <x:c r="E10" s="22" t="n">
        <x:v>60</x:v>
      </x:c>
      <x:c r="F10" s="22" t="n">
        <x:v>40</x:v>
      </x:c>
      <x:c r="G10" s="22" t="n">
        <x:v>20</x:v>
      </x:c>
      <x:c r="H10" s="23" t="inlineStr">
        <x:is>
          <x:t xml:space="preserve">SUPUESTO</x:t>
        </x:is>
      </x:c>
      <x:c r="I10" s="9" t="inlineStr">
        <x:is>
          <x:t xml:space="preserve">Depende de histórico local; establecer con OT/Operación.</x:t>
        </x:is>
      </x:c>
      <x:c r="J10" s="9" t="inlineStr">
        <x:is>
          <x:t xml:space="preserve">OT/Operación</x:t>
        </x:is>
      </x:c>
      <x:c r="K10" s="24" t="inlineStr">
        <x:is>
          <x:t xml:space="preserve">https://github.com/tangodelta217/ACQC</x:t>
        </x:is>
      </x:c>
    </x:row>
    <x:row r="11" ht="18" customHeight="1">
      <x:c r="A11" s="20" t="inlineStr">
        <x:is>
          <x:t xml:space="preserve">A03</x:t>
        </x:is>
      </x:c>
      <x:c r="B11" s="9" t="inlineStr">
        <x:is>
          <x:t xml:space="preserve">Operación</x:t>
        </x:is>
      </x:c>
      <x:c r="C11" s="9" t="inlineStr">
        <x:is>
          <x:t xml:space="preserve">Reducción de downtime por fallback + detección (ACQC)</x:t>
        </x:is>
      </x:c>
      <x:c r="D11" s="21" t="inlineStr">
        <x:is>
          <x:t xml:space="preserve">%</x:t>
        </x:is>
      </x:c>
      <x:c r="E11" s="49" t="n">
        <x:v>10</x:v>
      </x:c>
      <x:c r="F11" s="49" t="n">
        <x:v>25</x:v>
      </x:c>
      <x:c r="G11" s="49" t="n">
        <x:v>40</x:v>
      </x:c>
      <x:c r="H11" s="23" t="inlineStr">
        <x:is>
          <x:t xml:space="preserve">SUPUESTO</x:t>
        </x:is>
      </x:c>
      <x:c r="I11" s="9" t="inlineStr">
        <x:is>
          <x:t xml:space="preserve">Se incluyen flujos degradados (fallback) y observabilidad; cuantificar con incidentes reales.</x:t>
        </x:is>
      </x:c>
      <x:c r="J11" s="9" t="inlineStr">
        <x:is>
          <x:t xml:space="preserve">OT/Operación</x:t>
        </x:is>
      </x:c>
      <x:c r="K11" s="24" t="inlineStr">
        <x:is>
          <x:t xml:space="preserve">https://github.com/tangodelta217/ACQC</x:t>
        </x:is>
      </x:c>
    </x:row>
    <x:row r="12" ht="18" customHeight="1">
      <x:c r="A12" s="20" t="inlineStr">
        <x:is>
          <x:t xml:space="preserve">P01</x:t>
        </x:is>
      </x:c>
      <x:c r="B12" s="9" t="inlineStr">
        <x:is>
          <x:t xml:space="preserve">Producción</x:t>
        </x:is>
      </x:c>
      <x:c r="C12" s="9" t="inlineStr">
        <x:is>
          <x:t xml:space="preserve">Producción anual impactada (corriente/unidad objetivo)</x:t>
        </x:is>
      </x:c>
      <x:c r="D12" s="21" t="inlineStr">
        <x:is>
          <x:t xml:space="preserve">t/año</x:t>
        </x:is>
      </x:c>
      <x:c r="E12" s="22" t="n">
        <x:v>80000</x:v>
      </x:c>
      <x:c r="F12" s="22" t="n">
        <x:v>150000</x:v>
      </x:c>
      <x:c r="G12" s="22" t="n">
        <x:v>250000</x:v>
      </x:c>
      <x:c r="H12" s="23" t="inlineStr">
        <x:is>
          <x:t xml:space="preserve">SUPUESTO</x:t>
        </x:is>
      </x:c>
      <x:c r="I12" s="9" t="inlineStr">
        <x:is>
          <x:t xml:space="preserve">Requiere definir unidad y corriente en Puertollano; placeholder editable.</x:t>
        </x:is>
      </x:c>
      <x:c r="J12" s="9" t="inlineStr">
        <x:is>
          <x:t xml:space="preserve">Producción</x:t>
        </x:is>
      </x:c>
      <x:c r="K12" s="24" t="inlineStr">
        <x:is>
          <x:t xml:space="preserve">https://github.com/tangodelta217/ACQC</x:t>
        </x:is>
      </x:c>
    </x:row>
    <x:row r="13" ht="18" customHeight="1">
      <x:c r="A13" s="20" t="inlineStr">
        <x:is>
          <x:t xml:space="preserve">P02</x:t>
        </x:is>
      </x:c>
      <x:c r="B13" s="9" t="inlineStr">
        <x:is>
          <x:t xml:space="preserve">Producción</x:t>
        </x:is>
      </x:c>
      <x:c r="C13" s="9" t="inlineStr">
        <x:is>
          <x:t xml:space="preserve">Margen de contribución por tonelada (producto afectado)</x:t>
        </x:is>
      </x:c>
      <x:c r="D13" s="21" t="inlineStr">
        <x:is>
          <x:t xml:space="preserve">€/t</x:t>
        </x:is>
      </x:c>
      <x:c r="E13" s="50" t="n">
        <x:v>30</x:v>
      </x:c>
      <x:c r="F13" s="50" t="n">
        <x:v>50</x:v>
      </x:c>
      <x:c r="G13" s="50" t="n">
        <x:v>80</x:v>
      </x:c>
      <x:c r="H13" s="23" t="inlineStr">
        <x:is>
          <x:t xml:space="preserve">SUPUESTO</x:t>
        </x:is>
      </x:c>
      <x:c r="I13" s="9" t="inlineStr">
        <x:is>
          <x:t xml:space="preserve">Depende de slate y mercado; usar contabilidad de gestión.</x:t>
        </x:is>
      </x:c>
      <x:c r="J13" s="9" t="inlineStr">
        <x:is>
          <x:t xml:space="preserve">Finanzas</x:t>
        </x:is>
      </x:c>
      <x:c r="K13" s="24" t="inlineStr">
        <x:is>
          <x:t xml:space="preserve">https://github.com/tangodelta217/ACQC</x:t>
        </x:is>
      </x:c>
    </x:row>
    <x:row r="14" ht="18" customHeight="1">
      <x:c r="A14" s="20" t="inlineStr">
        <x:is>
          <x:t xml:space="preserve">P03</x:t>
        </x:is>
      </x:c>
      <x:c r="B14" s="9" t="inlineStr">
        <x:is>
          <x:t xml:space="preserve">Producción</x:t>
        </x:is>
      </x:c>
      <x:c r="C14" s="9" t="inlineStr">
        <x:is>
          <x:t xml:space="preserve">Mejora de throughput/rendimiento por optimización (esperada)</x:t>
        </x:is>
      </x:c>
      <x:c r="D14" s="21" t="inlineStr">
        <x:is>
          <x:t xml:space="preserve">%</x:t>
        </x:is>
      </x:c>
      <x:c r="E14" s="49" t="n">
        <x:v>1</x:v>
      </x:c>
      <x:c r="F14" s="49" t="n">
        <x:v>3</x:v>
      </x:c>
      <x:c r="G14" s="49" t="n">
        <x:v>5</x:v>
      </x:c>
      <x:c r="H14" s="27" t="inlineStr">
        <x:is>
          <x:t xml:space="preserve">FUENTE</x:t>
        </x:is>
      </x:c>
      <x:c r="I14" s="9" t="inlineStr">
        <x:is>
          <x:t xml:space="preserve">Doc ACQC_Optimizacion.pdf (2026): mejora esperada de throughput/rendimiento ~3% (resultados esperados; validar).</x:t>
        </x:is>
      </x:c>
      <x:c r="J14" s="9" t="inlineStr">
        <x:is>
          <x:t xml:space="preserve">Proceso</x:t>
        </x:is>
      </x:c>
      <x:c r="K14" s="24" t="inlineStr">
        <x:is>
          <x:t xml:space="preserve">https://github.com/tangodelta217/ACQC</x:t>
        </x:is>
      </x:c>
    </x:row>
    <x:row r="15" ht="18" customHeight="1">
      <x:c r="A15" s="20" t="inlineStr">
        <x:is>
          <x:t xml:space="preserve">E01</x:t>
        </x:is>
      </x:c>
      <x:c r="B15" s="9" t="inlineStr">
        <x:is>
          <x:t xml:space="preserve">Energía</x:t>
        </x:is>
      </x:c>
      <x:c r="C15" s="9" t="inlineStr">
        <x:is>
          <x:t xml:space="preserve">Consumo energético específico base</x:t>
        </x:is>
      </x:c>
      <x:c r="D15" s="21" t="inlineStr">
        <x:is>
          <x:t xml:space="preserve">GJ/t</x:t>
        </x:is>
      </x:c>
      <x:c r="E15" s="28" t="n">
        <x:v>1.5</x:v>
      </x:c>
      <x:c r="F15" s="28" t="n">
        <x:v>2</x:v>
      </x:c>
      <x:c r="G15" s="28" t="n">
        <x:v>2.5</x:v>
      </x:c>
      <x:c r="H15" s="23" t="inlineStr">
        <x:is>
          <x:t xml:space="preserve">SUPUESTO</x:t>
        </x:is>
      </x:c>
      <x:c r="I15" s="9" t="inlineStr">
        <x:is>
          <x:t xml:space="preserve">Depende de la unidad (hidrotratamiento/blending/etc.); estimación inicial editable.</x:t>
        </x:is>
      </x:c>
      <x:c r="J15" s="9" t="inlineStr">
        <x:is>
          <x:t xml:space="preserve">Energía/Proceso</x:t>
        </x:is>
      </x:c>
      <x:c r="K15" s="24" t="inlineStr">
        <x:is>
          <x:t xml:space="preserve">https://github.com/tangodelta217/ACQC</x:t>
        </x:is>
      </x:c>
    </x:row>
    <x:row r="16" ht="18" customHeight="1">
      <x:c r="A16" s="20" t="inlineStr">
        <x:is>
          <x:t xml:space="preserve">E02</x:t>
        </x:is>
      </x:c>
      <x:c r="B16" s="9" t="inlineStr">
        <x:is>
          <x:t xml:space="preserve">Energía</x:t>
        </x:is>
      </x:c>
      <x:c r="C16" s="9" t="inlineStr">
        <x:is>
          <x:t xml:space="preserve">Precio energético promedio</x:t>
        </x:is>
      </x:c>
      <x:c r="D16" s="21" t="inlineStr">
        <x:is>
          <x:t xml:space="preserve">€/GJ</x:t>
        </x:is>
      </x:c>
      <x:c r="E16" s="50" t="n">
        <x:v>6</x:v>
      </x:c>
      <x:c r="F16" s="50" t="n">
        <x:v>8</x:v>
      </x:c>
      <x:c r="G16" s="50" t="n">
        <x:v>10</x:v>
      </x:c>
      <x:c r="H16" s="23" t="inlineStr">
        <x:is>
          <x:t xml:space="preserve">SUPUESTO</x:t>
        </x:is>
      </x:c>
      <x:c r="I16" s="9" t="inlineStr">
        <x:is>
          <x:t xml:space="preserve">Depende de mix energético interno (fuel/vapor/electricidad); fijar con Finanzas/Energía.</x:t>
        </x:is>
      </x:c>
      <x:c r="J16" s="9" t="inlineStr">
        <x:is>
          <x:t xml:space="preserve">Energía/Finanzas</x:t>
        </x:is>
      </x:c>
      <x:c r="K16" s="24" t="inlineStr">
        <x:is>
          <x:t xml:space="preserve">https://github.com/tangodelta217/ACQC</x:t>
        </x:is>
      </x:c>
    </x:row>
    <x:row r="17" ht="18" customHeight="1">
      <x:c r="A17" s="20" t="inlineStr">
        <x:is>
          <x:t xml:space="preserve">E03</x:t>
        </x:is>
      </x:c>
      <x:c r="B17" s="9" t="inlineStr">
        <x:is>
          <x:t xml:space="preserve">Energía</x:t>
        </x:is>
      </x:c>
      <x:c r="C17" s="9" t="inlineStr">
        <x:is>
          <x:t xml:space="preserve">Ahorro energético por optimización (esperado)</x:t>
        </x:is>
      </x:c>
      <x:c r="D17" s="21" t="inlineStr">
        <x:is>
          <x:t xml:space="preserve">%</x:t>
        </x:is>
      </x:c>
      <x:c r="E17" s="49" t="n">
        <x:v>2</x:v>
      </x:c>
      <x:c r="F17" s="49" t="n">
        <x:v>5</x:v>
      </x:c>
      <x:c r="G17" s="49" t="n">
        <x:v>7</x:v>
      </x:c>
      <x:c r="H17" s="27" t="inlineStr">
        <x:is>
          <x:t xml:space="preserve">FUENTE</x:t>
        </x:is>
      </x:c>
      <x:c r="I17" s="9" t="inlineStr">
        <x:is>
          <x:t xml:space="preserve">Doc ACQC_Optimizacion.pdf (2026): ahorro energético esperado ~5% (resultados esperados; validar).</x:t>
        </x:is>
      </x:c>
      <x:c r="J17" s="9" t="inlineStr">
        <x:is>
          <x:t xml:space="preserve">Proceso</x:t>
        </x:is>
      </x:c>
      <x:c r="K17" s="24" t="inlineStr">
        <x:is>
          <x:t xml:space="preserve">https://github.com/tangodelta217/ACQC</x:t>
        </x:is>
      </x:c>
    </x:row>
    <x:row r="18" ht="18" customHeight="1">
      <x:c r="A18" s="20" t="inlineStr">
        <x:is>
          <x:t xml:space="preserve">Q01</x:t>
        </x:is>
      </x:c>
      <x:c r="B18" s="9" t="inlineStr">
        <x:is>
          <x:t xml:space="preserve">Calidad</x:t>
        </x:is>
      </x:c>
      <x:c r="C18" s="9" t="inlineStr">
        <x:is>
          <x:t xml:space="preserve">Tasa de scrap/rework por calidad (base)</x:t>
        </x:is>
      </x:c>
      <x:c r="D18" s="21" t="inlineStr">
        <x:is>
          <x:t xml:space="preserve">%</x:t>
        </x:is>
      </x:c>
      <x:c r="E18" s="49" t="n">
        <x:v>0.6</x:v>
      </x:c>
      <x:c r="F18" s="49" t="n">
        <x:v>1</x:v>
      </x:c>
      <x:c r="G18" s="49" t="n">
        <x:v>1.5</x:v>
      </x:c>
      <x:c r="H18" s="23" t="inlineStr">
        <x:is>
          <x:t xml:space="preserve">SUPUESTO</x:t>
        </x:is>
      </x:c>
      <x:c r="I18" s="9" t="inlineStr">
        <x:is>
          <x:t xml:space="preserve">Depende de histórico de lotes fuera de especificación; definir con QA.</x:t>
        </x:is>
      </x:c>
      <x:c r="J18" s="9" t="inlineStr">
        <x:is>
          <x:t xml:space="preserve">Calidad</x:t>
        </x:is>
      </x:c>
      <x:c r="K18" s="24" t="inlineStr">
        <x:is>
          <x:t xml:space="preserve">https://github.com/tangodelta217/ACQC</x:t>
        </x:is>
      </x:c>
    </x:row>
    <x:row r="19" ht="18" customHeight="1">
      <x:c r="A19" s="20" t="inlineStr">
        <x:is>
          <x:t xml:space="preserve">Q02</x:t>
        </x:is>
      </x:c>
      <x:c r="B19" s="9" t="inlineStr">
        <x:is>
          <x:t xml:space="preserve">Calidad</x:t>
        </x:is>
      </x:c>
      <x:c r="C19" s="9" t="inlineStr">
        <x:is>
          <x:t xml:space="preserve">Coste incremental de scrap/rework</x:t>
        </x:is>
      </x:c>
      <x:c r="D19" s="21" t="inlineStr">
        <x:is>
          <x:t xml:space="preserve">€/t</x:t>
        </x:is>
      </x:c>
      <x:c r="E19" s="50" t="n">
        <x:v>100</x:v>
      </x:c>
      <x:c r="F19" s="50" t="n">
        <x:v>150</x:v>
      </x:c>
      <x:c r="G19" s="50" t="n">
        <x:v>250</x:v>
      </x:c>
      <x:c r="H19" s="23" t="inlineStr">
        <x:is>
          <x:t xml:space="preserve">SUPUESTO</x:t>
        </x:is>
      </x:c>
      <x:c r="I19" s="9" t="inlineStr">
        <x:is>
          <x:t xml:space="preserve">Incluye reproceso, pérdida de margen y logística; cuantificar con contabilidad.</x:t>
        </x:is>
      </x:c>
      <x:c r="J19" s="9" t="inlineStr">
        <x:is>
          <x:t xml:space="preserve">Finanzas/Calidad</x:t>
        </x:is>
      </x:c>
      <x:c r="K19" s="24" t="inlineStr">
        <x:is>
          <x:t xml:space="preserve">https://github.com/tangodelta217/ACQC</x:t>
        </x:is>
      </x:c>
    </x:row>
    <x:row r="20" ht="18" customHeight="1">
      <x:c r="A20" s="20" t="inlineStr">
        <x:is>
          <x:t xml:space="preserve">Q03</x:t>
        </x:is>
      </x:c>
      <x:c r="B20" s="9" t="inlineStr">
        <x:is>
          <x:t xml:space="preserve">Calidad</x:t>
        </x:is>
      </x:c>
      <x:c r="C20" s="9" t="inlineStr">
        <x:is>
          <x:t xml:space="preserve">Reducción de scrap/rework por observabilidad inline</x:t>
        </x:is>
      </x:c>
      <x:c r="D20" s="21" t="inlineStr">
        <x:is>
          <x:t xml:space="preserve">%</x:t>
        </x:is>
      </x:c>
      <x:c r="E20" s="49" t="n">
        <x:v>15</x:v>
      </x:c>
      <x:c r="F20" s="49" t="n">
        <x:v>30</x:v>
      </x:c>
      <x:c r="G20" s="49" t="n">
        <x:v>50</x:v>
      </x:c>
      <x:c r="H20" s="23" t="inlineStr">
        <x:is>
          <x:t xml:space="preserve">SUPUESTO</x:t>
        </x:is>
      </x:c>
      <x:c r="I20" s="9" t="inlineStr">
        <x:is>
          <x:t xml:space="preserve">Mejoras por detección temprana (soft sensors + PAT) antes del laboratorio; validar en piloto.</x:t>
        </x:is>
      </x:c>
      <x:c r="J20" s="9" t="inlineStr">
        <x:is>
          <x:t xml:space="preserve">Calidad/Proceso</x:t>
        </x:is>
      </x:c>
      <x:c r="K20" s="24" t="inlineStr">
        <x:is>
          <x:t xml:space="preserve">https://github.com/tangodelta217/ACQC</x:t>
        </x:is>
      </x:c>
    </x:row>
    <x:row r="21" ht="18" customHeight="1">
      <x:c r="A21" s="20" t="inlineStr">
        <x:is>
          <x:t xml:space="preserve">T01</x:t>
        </x:is>
      </x:c>
      <x:c r="B21" s="9" t="inlineStr">
        <x:is>
          <x:t xml:space="preserve">Tecnología</x:t>
        </x:is>
      </x:c>
      <x:c r="C21" s="9" t="inlineStr">
        <x:is>
          <x:t xml:space="preserve">Disponibilidad objetivo del servicio (meta)</x:t>
        </x:is>
      </x:c>
      <x:c r="D21" s="21" t="inlineStr">
        <x:is>
          <x:t xml:space="preserve">%</x:t>
        </x:is>
      </x:c>
      <x:c r="E21" s="49" t="n">
        <x:v>98</x:v>
      </x:c>
      <x:c r="F21" s="49" t="n">
        <x:v>99</x:v>
      </x:c>
      <x:c r="G21" s="49" t="n">
        <x:v>99.5</x:v>
      </x:c>
      <x:c r="H21" s="27" t="inlineStr">
        <x:is>
          <x:t xml:space="preserve">FUENTE</x:t>
        </x:is>
      </x:c>
      <x:c r="I21" s="9" t="inlineStr">
        <x:is>
          <x:t xml:space="preserve">Doc ACQC_OnePager.pdf (2026): disponibilidad objetivo del servicio (KPI de operación).</x:t>
        </x:is>
      </x:c>
      <x:c r="J21" s="9" t="inlineStr">
        <x:is>
          <x:t xml:space="preserve">OT</x:t>
        </x:is>
      </x:c>
      <x:c r="K21" s="24" t="inlineStr">
        <x:is>
          <x:t xml:space="preserve">https://github.com/tangodelta217/ACQC</x:t>
        </x:is>
      </x:c>
    </x:row>
    <x:row r="22" ht="18" customHeight="1">
      <x:c r="A22" s="20" t="inlineStr">
        <x:is>
          <x:t xml:space="preserve">C01</x:t>
        </x:is>
      </x:c>
      <x:c r="B22" s="9" t="inlineStr">
        <x:is>
          <x:t xml:space="preserve">Costes (CAPEX)</x:t>
        </x:is>
      </x:c>
      <x:c r="C22" s="9" t="inlineStr">
        <x:is>
          <x:t xml:space="preserve">Analizador PAT NIR/Raman + instalación</x:t>
        </x:is>
      </x:c>
      <x:c r="D22" s="21" t="inlineStr">
        <x:is>
          <x:t xml:space="preserve">€</x:t>
        </x:is>
      </x:c>
      <x:c r="E22" s="50" t="n">
        <x:v>120000</x:v>
      </x:c>
      <x:c r="F22" s="50" t="n">
        <x:v>180000</x:v>
      </x:c>
      <x:c r="G22" s="50" t="n">
        <x:v>250000</x:v>
      </x:c>
      <x:c r="H22" s="23" t="inlineStr">
        <x:is>
          <x:t xml:space="preserve">SUPUESTO</x:t>
        </x:is>
      </x:c>
      <x:c r="I22" s="9" t="inlineStr">
        <x:is>
          <x:t xml:space="preserve">Depende de fabricante, instalación e ingeniería; cotizar con proveedores.</x:t>
        </x:is>
      </x:c>
      <x:c r="J22" s="9" t="inlineStr">
        <x:is>
          <x:t xml:space="preserve">Compras/Instrumentación</x:t>
        </x:is>
      </x:c>
      <x:c r="K22" s="24" t="inlineStr">
        <x:is>
          <x:t xml:space="preserve">https://github.com/tangodelta217/ACQC</x:t>
        </x:is>
      </x:c>
    </x:row>
    <x:row r="23" ht="18" customHeight="1">
      <x:c r="A23" s="20" t="inlineStr">
        <x:is>
          <x:t xml:space="preserve">C02</x:t>
        </x:is>
      </x:c>
      <x:c r="B23" s="9" t="inlineStr">
        <x:is>
          <x:t xml:space="preserve">Costes (CAPEX)</x:t>
        </x:is>
      </x:c>
      <x:c r="C23" s="9" t="inlineStr">
        <x:is>
          <x:t xml:space="preserve">Edge industrial (gateway/IPC/Jetson) + armario</x:t>
        </x:is>
      </x:c>
      <x:c r="D23" s="21" t="inlineStr">
        <x:is>
          <x:t xml:space="preserve">€</x:t>
        </x:is>
      </x:c>
      <x:c r="E23" s="50" t="n">
        <x:v>6000</x:v>
      </x:c>
      <x:c r="F23" s="50" t="n">
        <x:v>12000</x:v>
      </x:c>
      <x:c r="G23" s="50" t="n">
        <x:v>25000</x:v>
      </x:c>
      <x:c r="H23" s="23" t="inlineStr">
        <x:is>
          <x:t xml:space="preserve">SUPUESTO</x:t>
        </x:is>
      </x:c>
      <x:c r="I23" s="9" t="inlineStr">
        <x:is>
          <x:t xml:space="preserve">Equipo industrial en DMZ con redundancia opcional; estimación inicial.</x:t>
        </x:is>
      </x:c>
      <x:c r="J23" s="9" t="inlineStr">
        <x:is>
          <x:t xml:space="preserve">OT</x:t>
        </x:is>
      </x:c>
      <x:c r="K23" s="24" t="inlineStr">
        <x:is>
          <x:t xml:space="preserve">https://github.com/tangodelta217/ACQC</x:t>
        </x:is>
      </x:c>
    </x:row>
    <x:row r="24" ht="18" customHeight="1">
      <x:c r="A24" s="20" t="inlineStr">
        <x:is>
          <x:t xml:space="preserve">C03</x:t>
        </x:is>
      </x:c>
      <x:c r="B24" s="9" t="inlineStr">
        <x:is>
          <x:t xml:space="preserve">Costes (CAPEX)</x:t>
        </x:is>
      </x:c>
      <x:c r="C24" s="9" t="inlineStr">
        <x:is>
          <x:t xml:space="preserve">Integración OT/IT (OPC UA, dashboard, historian/LIMS)</x:t>
        </x:is>
      </x:c>
      <x:c r="D24" s="21" t="inlineStr">
        <x:is>
          <x:t xml:space="preserve">€</x:t>
        </x:is>
      </x:c>
      <x:c r="E24" s="50" t="n">
        <x:v>60000</x:v>
      </x:c>
      <x:c r="F24" s="50" t="n">
        <x:v>120000</x:v>
      </x:c>
      <x:c r="G24" s="50" t="n">
        <x:v>200000</x:v>
      </x:c>
      <x:c r="H24" s="23" t="inlineStr">
        <x:is>
          <x:t xml:space="preserve">SUPUESTO</x:t>
        </x:is>
      </x:c>
      <x:c r="I24" s="9" t="inlineStr">
        <x:is>
          <x:t xml:space="preserve">Horas de ingeniería + pruebas; depende de accesos y complejidad OT.</x:t>
        </x:is>
      </x:c>
      <x:c r="J24" s="9" t="inlineStr">
        <x:is>
          <x:t xml:space="preserve">OT/IT</x:t>
        </x:is>
      </x:c>
      <x:c r="K24" s="24" t="inlineStr">
        <x:is>
          <x:t xml:space="preserve">https://github.com/tangodelta217/ACQC</x:t>
        </x:is>
      </x:c>
    </x:row>
    <x:row r="25" ht="18" customHeight="1">
      <x:c r="A25" s="20" t="inlineStr">
        <x:is>
          <x:t xml:space="preserve">C04</x:t>
        </x:is>
      </x:c>
      <x:c r="B25" s="9" t="inlineStr">
        <x:is>
          <x:t xml:space="preserve">Costes (CAPEX)</x:t>
        </x:is>
      </x:c>
      <x:c r="C25" s="9" t="inlineStr">
        <x:is>
          <x:t xml:space="preserve">Ciberseguridad y hardening (certificados, firma, auditoría)</x:t>
        </x:is>
      </x:c>
      <x:c r="D25" s="21" t="inlineStr">
        <x:is>
          <x:t xml:space="preserve">€</x:t>
        </x:is>
      </x:c>
      <x:c r="E25" s="50" t="n">
        <x:v>20000</x:v>
      </x:c>
      <x:c r="F25" s="50" t="n">
        <x:v>45000</x:v>
      </x:c>
      <x:c r="G25" s="50" t="n">
        <x:v>80000</x:v>
      </x:c>
      <x:c r="H25" s="23" t="inlineStr">
        <x:is>
          <x:t xml:space="preserve">SUPUESTO</x:t>
        </x:is>
      </x:c>
      <x:c r="I25" s="9" t="inlineStr">
        <x:is>
          <x:t xml:space="preserve">Incluye hardening, logging central, PKI local; depende de políticas corporativas.</x:t>
        </x:is>
      </x:c>
      <x:c r="J25" s="9" t="inlineStr">
        <x:is>
          <x:t xml:space="preserve">Ciberseguridad</x:t>
        </x:is>
      </x:c>
      <x:c r="K25" s="24" t="inlineStr">
        <x:is>
          <x:t xml:space="preserve">https://github.com/tangodelta217/ACQC</x:t>
        </x:is>
      </x:c>
    </x:row>
    <x:row r="26" ht="18" customHeight="1">
      <x:c r="A26" s="20" t="inlineStr">
        <x:is>
          <x:t xml:space="preserve">C05</x:t>
        </x:is>
      </x:c>
      <x:c r="B26" s="9" t="inlineStr">
        <x:is>
          <x:t xml:space="preserve">Costes (CAPEX)</x:t>
        </x:is>
      </x:c>
      <x:c r="C26" s="9" t="inlineStr">
        <x:is>
          <x:t xml:space="preserve">Gestión de cambio, formación y documentación</x:t>
        </x:is>
      </x:c>
      <x:c r="D26" s="21" t="inlineStr">
        <x:is>
          <x:t xml:space="preserve">€</x:t>
        </x:is>
      </x:c>
      <x:c r="E26" s="50" t="n">
        <x:v>10000</x:v>
      </x:c>
      <x:c r="F26" s="50" t="n">
        <x:v>25000</x:v>
      </x:c>
      <x:c r="G26" s="50" t="n">
        <x:v>50000</x:v>
      </x:c>
      <x:c r="H26" s="23" t="inlineStr">
        <x:is>
          <x:t xml:space="preserve">SUPUESTO</x:t>
        </x:is>
      </x:c>
      <x:c r="I26" s="9" t="inlineStr">
        <x:is>
          <x:t xml:space="preserve">Formación operadores/QA + documentación + MOC (si aplica).</x:t>
        </x:is>
      </x:c>
      <x:c r="J26" s="9" t="inlineStr">
        <x:is>
          <x:t xml:space="preserve">Operación/QA</x:t>
        </x:is>
      </x:c>
      <x:c r="K26" s="24" t="inlineStr">
        <x:is>
          <x:t xml:space="preserve">https://github.com/tangodelta217/ACQC</x:t>
        </x:is>
      </x:c>
    </x:row>
    <x:row r="27" ht="18" customHeight="1">
      <x:c r="A27" s="20" t="inlineStr">
        <x:is>
          <x:t xml:space="preserve">C06</x:t>
        </x:is>
      </x:c>
      <x:c r="B27" s="9" t="inlineStr">
        <x:is>
          <x:t xml:space="preserve">Costes (CAPEX)</x:t>
        </x:is>
      </x:c>
      <x:c r="C27" s="9" t="inlineStr">
        <x:is>
          <x:t xml:space="preserve">Contingencia CAPEX</x:t>
        </x:is>
      </x:c>
      <x:c r="D27" s="21" t="inlineStr">
        <x:is>
          <x:t xml:space="preserve">%</x:t>
        </x:is>
      </x:c>
      <x:c r="E27" s="49" t="n">
        <x:v>10</x:v>
      </x:c>
      <x:c r="F27" s="49" t="n">
        <x:v>15</x:v>
      </x:c>
      <x:c r="G27" s="49" t="n">
        <x:v>20</x:v>
      </x:c>
      <x:c r="H27" s="23" t="inlineStr">
        <x:is>
          <x:t xml:space="preserve">SUPUESTO</x:t>
        </x:is>
      </x:c>
      <x:c r="I27" s="9" t="inlineStr">
        <x:is>
          <x:t xml:space="preserve">Buenas prácticas de estimación para pilotos.</x:t>
        </x:is>
      </x:c>
      <x:c r="J27" s="9" t="inlineStr">
        <x:is>
          <x:t xml:space="preserve">Finanzas</x:t>
        </x:is>
      </x:c>
      <x:c r="K27" s="24" t="inlineStr">
        <x:is>
          <x:t xml:space="preserve">https://github.com/tangodelta217/ACQC</x:t>
        </x:is>
      </x:c>
    </x:row>
    <x:row r="28" ht="18" customHeight="1">
      <x:c r="A28" s="20" t="inlineStr">
        <x:is>
          <x:t xml:space="preserve">O01</x:t>
        </x:is>
      </x:c>
      <x:c r="B28" s="9" t="inlineStr">
        <x:is>
          <x:t xml:space="preserve">Costes (OPEX)</x:t>
        </x:is>
      </x:c>
      <x:c r="C28" s="9" t="inlineStr">
        <x:is>
          <x:t xml:space="preserve">Mantenimiento anual PAT (calibración, consumibles)</x:t>
        </x:is>
      </x:c>
      <x:c r="D28" s="21" t="inlineStr">
        <x:is>
          <x:t xml:space="preserve">€/año</x:t>
        </x:is>
      </x:c>
      <x:c r="E28" s="50" t="n">
        <x:v>8000</x:v>
      </x:c>
      <x:c r="F28" s="50" t="n">
        <x:v>15000</x:v>
      </x:c>
      <x:c r="G28" s="50" t="n">
        <x:v>25000</x:v>
      </x:c>
      <x:c r="H28" s="23" t="inlineStr">
        <x:is>
          <x:t xml:space="preserve">SUPUESTO</x:t>
        </x:is>
      </x:c>
      <x:c r="I28" s="9" t="inlineStr">
        <x:is>
          <x:t xml:space="preserve">Contrato de mantenimiento y recalibración periódica; dependerá del sensor.</x:t>
        </x:is>
      </x:c>
      <x:c r="J28" s="9" t="inlineStr">
        <x:is>
          <x:t xml:space="preserve">Instrumentación</x:t>
        </x:is>
      </x:c>
      <x:c r="K28" s="24" t="inlineStr">
        <x:is>
          <x:t xml:space="preserve">https://github.com/tangodelta217/ACQC</x:t>
        </x:is>
      </x:c>
    </x:row>
    <x:row r="29" ht="18" customHeight="1">
      <x:c r="A29" s="20" t="inlineStr">
        <x:is>
          <x:t xml:space="preserve">O02</x:t>
        </x:is>
      </x:c>
      <x:c r="B29" s="9" t="inlineStr">
        <x:is>
          <x:t xml:space="preserve">Costes (OPEX)</x:t>
        </x:is>
      </x:c>
      <x:c r="C29" s="9" t="inlineStr">
        <x:is>
          <x:t xml:space="preserve">Soporte MLOps/analítica (reentrenos, QA modelos)</x:t>
        </x:is>
      </x:c>
      <x:c r="D29" s="21" t="inlineStr">
        <x:is>
          <x:t xml:space="preserve">€/año</x:t>
        </x:is>
      </x:c>
      <x:c r="E29" s="50" t="n">
        <x:v>15000</x:v>
      </x:c>
      <x:c r="F29" s="50" t="n">
        <x:v>35000</x:v>
      </x:c>
      <x:c r="G29" s="50" t="n">
        <x:v>60000</x:v>
      </x:c>
      <x:c r="H29" s="23" t="inlineStr">
        <x:is>
          <x:t xml:space="preserve">SUPUESTO</x:t>
        </x:is>
      </x:c>
      <x:c r="I29" s="9" t="inlineStr">
        <x:is>
          <x:t xml:space="preserve">Dedicación parcial (data/OT) para mantener modelos y validación.</x:t>
        </x:is>
      </x:c>
      <x:c r="J29" s="9" t="inlineStr">
        <x:is>
          <x:t xml:space="preserve">Digital/OT</x:t>
        </x:is>
      </x:c>
      <x:c r="K29" s="24" t="inlineStr">
        <x:is>
          <x:t xml:space="preserve">https://github.com/tangodelta217/ACQC</x:t>
        </x:is>
      </x:c>
    </x:row>
    <x:row r="30" ht="18" customHeight="1">
      <x:c r="A30" s="20" t="inlineStr">
        <x:is>
          <x:t xml:space="preserve">O03</x:t>
        </x:is>
      </x:c>
      <x:c r="B30" s="9" t="inlineStr">
        <x:is>
          <x:t xml:space="preserve">Costes (OPEX)</x:t>
        </x:is>
      </x:c>
      <x:c r="C30" s="9" t="inlineStr">
        <x:is>
          <x:t xml:space="preserve">Operación cibersegura (parches, rotación credenciales, SIEM)</x:t>
        </x:is>
      </x:c>
      <x:c r="D30" s="21" t="inlineStr">
        <x:is>
          <x:t xml:space="preserve">€/año</x:t>
        </x:is>
      </x:c>
      <x:c r="E30" s="50" t="n">
        <x:v>5000</x:v>
      </x:c>
      <x:c r="F30" s="50" t="n">
        <x:v>12000</x:v>
      </x:c>
      <x:c r="G30" s="50" t="n">
        <x:v>20000</x:v>
      </x:c>
      <x:c r="H30" s="23" t="inlineStr">
        <x:is>
          <x:t xml:space="preserve">SUPUESTO</x:t>
        </x:is>
      </x:c>
      <x:c r="I30" s="9" t="inlineStr">
        <x:is>
          <x:t xml:space="preserve">Depende de SOC/CSIRT y herramientas existentes; estimación inicial.</x:t>
        </x:is>
      </x:c>
      <x:c r="J30" s="9" t="inlineStr">
        <x:is>
          <x:t xml:space="preserve">Ciberseguridad</x:t>
        </x:is>
      </x:c>
      <x:c r="K30" s="24" t="inlineStr">
        <x:is>
          <x:t xml:space="preserve">https://github.com/tangodelta217/ACQC</x:t>
        </x:is>
      </x:c>
    </x:row>
    <x:row r="31" ht="18" customHeight="1">
      <x:c r="A31" s="20" t="inlineStr">
        <x:is>
          <x:t xml:space="preserve">O04</x:t>
        </x:is>
      </x:c>
      <x:c r="B31" s="9" t="inlineStr">
        <x:is>
          <x:t xml:space="preserve">Costes (OPEX)</x:t>
        </x:is>
      </x:c>
      <x:c r="C31" s="9" t="inlineStr">
        <x:is>
          <x:t xml:space="preserve">Infraestructura IT (almacenamiento, backups, licencias)</x:t>
        </x:is>
      </x:c>
      <x:c r="D31" s="21" t="inlineStr">
        <x:is>
          <x:t xml:space="preserve">€/año</x:t>
        </x:is>
      </x:c>
      <x:c r="E31" s="50" t="n">
        <x:v>3000</x:v>
      </x:c>
      <x:c r="F31" s="50" t="n">
        <x:v>8000</x:v>
      </x:c>
      <x:c r="G31" s="50" t="n">
        <x:v>15000</x:v>
      </x:c>
      <x:c r="H31" s="23" t="inlineStr">
        <x:is>
          <x:t xml:space="preserve">SUPUESTO</x:t>
        </x:is>
      </x:c>
      <x:c r="I31" s="9" t="inlineStr">
        <x:is>
          <x:t xml:space="preserve">Puede ser 0 si se usa infraestructura existente; confirmar.</x:t>
        </x:is>
      </x:c>
      <x:c r="J31" s="9" t="inlineStr">
        <x:is>
          <x:t xml:space="preserve">IT</x:t>
        </x:is>
      </x:c>
      <x:c r="K31" s="24" t="inlineStr">
        <x:is>
          <x:t xml:space="preserve">https://github.com/tangodelta217/ACQC</x:t>
        </x:is>
      </x:c>
    </x:row>
  </x:sheetData>
  <x:mergeCells>
    <x:mergeCell ref="A2:K2"/>
    <x:mergeCell ref="A1:K1"/>
  </x:mergeCells>
  <x:pageMargins left="0.7" right="0.7" top="0.75" bottom="0.75" header="0.3" footer="0.3"/>
  <x:legacyDrawing xmlns:r="http://schemas.openxmlformats.org/officeDocument/2006/relationships" r:id="R9180b15ec3f84cf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5" customWidth="1"/>
    <x:col min="3" max="3" width="15" customWidth="1"/>
    <x:col min="4" max="4" width="15" customWidth="1"/>
    <x:col min="5" max="5" width="10" customWidth="1"/>
    <x:col min="6" max="6" width="11" customWidth="1"/>
    <x:col min="7" max="7" width="22" customWidth="1"/>
    <x:col min="8" max="8" width="26" customWidth="1"/>
  </x:cols>
  <x:sheetData>
    <x:row r="1" ht="28" customHeight="1">
      <x:c r="A1" s="1" t="inlineStr">
        <x:is>
          <x:t xml:space="preserve">Beneficios — Energía (optimización segura en modo asesor)</x:t>
        </x:is>
      </x:c>
    </x:row>
    <x:row r="2" ht="30" customHeight="1">
      <x:c r="A2" s="2" t="inlineStr">
        <x:is>
          <x:t xml:space="preserve">Beneficios calculados como resultados esperados (no medidos). Se aplican con factor de adopción del modo asesor.</x:t>
        </x:is>
      </x:c>
    </x:row>
    <x:row r="4" ht="22" customHeight="1">
      <x:c r="A4" s="6" t="inlineStr">
        <x:is>
          <x:t xml:space="preserve">Concepto</x:t>
        </x:is>
      </x:c>
      <x:c r="B4" s="6" t="inlineStr">
        <x:is>
          <x:t xml:space="preserve">Conservador</x:t>
        </x:is>
      </x:c>
      <x:c r="C4" s="6" t="inlineStr">
        <x:is>
          <x:t xml:space="preserve">Base</x:t>
        </x:is>
      </x:c>
      <x:c r="D4" s="6" t="inlineStr">
        <x:is>
          <x:t xml:space="preserve">Ambicioso</x:t>
        </x:is>
      </x:c>
      <x:c r="E4" s="6" t="inlineStr">
        <x:is>
          <x:t xml:space="preserve">Unidad</x:t>
        </x:is>
      </x:c>
      <x:c r="F4" s="6" t="inlineStr">
        <x:is>
          <x:t xml:space="preserve">ID supuesto</x:t>
        </x:is>
      </x:c>
      <x:c r="G4" s="6" t="inlineStr">
        <x:is>
          <x:t xml:space="preserve">Fuente</x:t>
        </x:is>
      </x:c>
      <x:c r="H4" s="6" t="inlineStr">
        <x:is>
          <x:t xml:space="preserve">Notas</x:t>
        </x:is>
      </x:c>
    </x:row>
    <x:row r="5" ht="18" customHeight="1">
      <x:c r="A5" s="9" t="inlineStr">
        <x:is>
          <x:t xml:space="preserve">Producción anual impactada</x:t>
        </x:is>
      </x:c>
      <x:c r="B5" s="29">
        <x:f>INDEX(Supuestos!$E$4:$G$31, MATCH($F5, Supuestos!$A$4:$A$31, 0), MATCH(B$4, Supuestos!$E$3:$G$3, 0))</x:f>
        <x:v>80000</x:v>
      </x:c>
      <x:c r="C5" s="29">
        <x:f>INDEX(Supuestos!$E$4:$G$31, MATCH($F5, Supuestos!$A$4:$A$31, 0), MATCH(C$4, Supuestos!$E$3:$G$3, 0))</x:f>
        <x:v>150000</x:v>
      </x:c>
      <x:c r="D5" s="29">
        <x:f>INDEX(Supuestos!$E$4:$G$31, MATCH($F5, Supuestos!$A$4:$A$31, 0), MATCH(D$4, Supuestos!$E$3:$G$3, 0))</x:f>
        <x:v>250000</x:v>
      </x:c>
      <x:c r="E5" s="30" t="inlineStr">
        <x:is>
          <x:t xml:space="preserve">t/año</x:t>
        </x:is>
      </x:c>
      <x:c r="F5" s="20" t="inlineStr">
        <x:is>
          <x:t xml:space="preserve">P01</x:t>
        </x:is>
      </x:c>
      <x:c r="G5" s="15" t="str">
        <x:f>IF($F5="","Derivado (fórmula)","Ver Supuestos (ID "&amp;$F5&amp;")")</x:f>
        <x:v>Ver Supuestos (ID P01)</x:v>
      </x:c>
      <x:c r="H5" s="15" t="inlineStr">
        <x:is>
          <x:t xml:space="preserve"/>
        </x:is>
      </x:c>
    </x:row>
    <x:row r="6" ht="18" customHeight="1">
      <x:c r="A6" s="9" t="inlineStr">
        <x:is>
          <x:t xml:space="preserve">Consumo específico base</x:t>
        </x:is>
      </x:c>
      <x:c r="B6" s="29">
        <x:f>INDEX(Supuestos!$E$4:$G$31, MATCH($F6, Supuestos!$A$4:$A$31, 0), MATCH(B$4, Supuestos!$E$3:$G$3, 0))</x:f>
        <x:v>1.5</x:v>
      </x:c>
      <x:c r="C6" s="29">
        <x:f>INDEX(Supuestos!$E$4:$G$31, MATCH($F6, Supuestos!$A$4:$A$31, 0), MATCH(C$4, Supuestos!$E$3:$G$3, 0))</x:f>
        <x:v>2</x:v>
      </x:c>
      <x:c r="D6" s="29">
        <x:f>INDEX(Supuestos!$E$4:$G$31, MATCH($F6, Supuestos!$A$4:$A$31, 0), MATCH(D$4, Supuestos!$E$3:$G$3, 0))</x:f>
        <x:v>2.5</x:v>
      </x:c>
      <x:c r="E6" s="30" t="inlineStr">
        <x:is>
          <x:t xml:space="preserve">GJ/t</x:t>
        </x:is>
      </x:c>
      <x:c r="F6" s="20" t="inlineStr">
        <x:is>
          <x:t xml:space="preserve">E01</x:t>
        </x:is>
      </x:c>
      <x:c r="G6" s="15" t="str">
        <x:f>IF($F6="","Derivado (fórmula)","Ver Supuestos (ID "&amp;$F6&amp;")")</x:f>
        <x:v>Ver Supuestos (ID E01)</x:v>
      </x:c>
      <x:c r="H6" s="15" t="inlineStr">
        <x:is>
          <x:t xml:space="preserve"/>
        </x:is>
      </x:c>
    </x:row>
    <x:row r="7" ht="18" customHeight="1">
      <x:c r="A7" s="9" t="inlineStr">
        <x:is>
          <x:t xml:space="preserve">Precio energía promedio</x:t>
        </x:is>
      </x:c>
      <x:c r="B7" s="29">
        <x:f>INDEX(Supuestos!$E$4:$G$31, MATCH($F7, Supuestos!$A$4:$A$31, 0), MATCH(B$4, Supuestos!$E$3:$G$3, 0))</x:f>
        <x:v>6</x:v>
      </x:c>
      <x:c r="C7" s="29">
        <x:f>INDEX(Supuestos!$E$4:$G$31, MATCH($F7, Supuestos!$A$4:$A$31, 0), MATCH(C$4, Supuestos!$E$3:$G$3, 0))</x:f>
        <x:v>8</x:v>
      </x:c>
      <x:c r="D7" s="29">
        <x:f>INDEX(Supuestos!$E$4:$G$31, MATCH($F7, Supuestos!$A$4:$A$31, 0), MATCH(D$4, Supuestos!$E$3:$G$3, 0))</x:f>
        <x:v>10</x:v>
      </x:c>
      <x:c r="E7" s="30" t="inlineStr">
        <x:is>
          <x:t xml:space="preserve">€/GJ</x:t>
        </x:is>
      </x:c>
      <x:c r="F7" s="20" t="inlineStr">
        <x:is>
          <x:t xml:space="preserve">E02</x:t>
        </x:is>
      </x:c>
      <x:c r="G7" s="15" t="str">
        <x:f>IF($F7="","Derivado (fórmula)","Ver Supuestos (ID "&amp;$F7&amp;")")</x:f>
        <x:v>Ver Supuestos (ID E02)</x:v>
      </x:c>
      <x:c r="H7" s="15" t="inlineStr">
        <x:is>
          <x:t xml:space="preserve"/>
        </x:is>
      </x:c>
    </x:row>
    <x:row r="8" ht="18" customHeight="1">
      <x:c r="A8" s="9" t="inlineStr">
        <x:is>
          <x:t xml:space="preserve">Coste energía anual base</x:t>
        </x:is>
      </x:c>
      <x:c r="B8" s="51">
        <x:f>B5*B6*B7</x:f>
        <x:v>720000</x:v>
      </x:c>
      <x:c r="C8" s="51">
        <x:f>C5*C6*C7</x:f>
        <x:v>2400000</x:v>
      </x:c>
      <x:c r="D8" s="51">
        <x:f>D5*D6*D7</x:f>
        <x:v>6250000</x:v>
      </x:c>
      <x:c r="E8" s="30" t="inlineStr">
        <x:is>
          <x:t xml:space="preserve">€</x:t>
        </x:is>
      </x:c>
      <x:c r="F8" s="30" t="inlineStr">
        <x:is>
          <x:t xml:space="preserve"/>
        </x:is>
      </x:c>
      <x:c r="G8" s="15" t="str">
        <x:f>IF($F8="","Derivado (fórmula)","Ver Supuestos (ID "&amp;$F8&amp;")")</x:f>
        <x:v>Derivado (fórmula)</x:v>
      </x:c>
      <x:c r="H8" s="15" t="inlineStr">
        <x:is>
          <x:t xml:space="preserve">P01*E01*E02</x:t>
        </x:is>
      </x:c>
    </x:row>
    <x:row r="9" ht="18" customHeight="1">
      <x:c r="A9" s="9" t="inlineStr">
        <x:is>
          <x:t xml:space="preserve">% ahorro energía por optimización</x:t>
        </x:is>
      </x:c>
      <x:c r="B9" s="48">
        <x:f>INDEX(Supuestos!$E$4:$G$31, MATCH($F9, Supuestos!$A$4:$A$31, 0), MATCH(B$4, Supuestos!$E$3:$G$3, 0))</x:f>
        <x:v>2</x:v>
      </x:c>
      <x:c r="C9" s="48">
        <x:f>INDEX(Supuestos!$E$4:$G$31, MATCH($F9, Supuestos!$A$4:$A$31, 0), MATCH(C$4, Supuestos!$E$3:$G$3, 0))</x:f>
        <x:v>5</x:v>
      </x:c>
      <x:c r="D9" s="48">
        <x:f>INDEX(Supuestos!$E$4:$G$31, MATCH($F9, Supuestos!$A$4:$A$31, 0), MATCH(D$4, Supuestos!$E$3:$G$3, 0))</x:f>
        <x:v>7</x:v>
      </x:c>
      <x:c r="E9" s="30" t="inlineStr">
        <x:is>
          <x:t xml:space="preserve">%</x:t>
        </x:is>
      </x:c>
      <x:c r="F9" s="20" t="inlineStr">
        <x:is>
          <x:t xml:space="preserve">E03</x:t>
        </x:is>
      </x:c>
      <x:c r="G9" s="15" t="str">
        <x:f>IF($F9="","Derivado (fórmula)","Ver Supuestos (ID "&amp;$F9&amp;")")</x:f>
        <x:v>Ver Supuestos (ID E03)</x:v>
      </x:c>
      <x:c r="H9" s="15" t="inlineStr">
        <x:is>
          <x:t xml:space="preserve"/>
        </x:is>
      </x:c>
    </x:row>
    <x:row r="10" ht="18" customHeight="1">
      <x:c r="A10" s="9" t="inlineStr">
        <x:is>
          <x:t xml:space="preserve">Adopción efectiva (human-in-the-loop)</x:t>
        </x:is>
      </x:c>
      <x:c r="B10" s="48">
        <x:f>INDEX(Supuestos!$E$4:$G$31, MATCH($F10, Supuestos!$A$4:$A$31, 0), MATCH(B$4, Supuestos!$E$3:$G$3, 0))</x:f>
        <x:v>40</x:v>
      </x:c>
      <x:c r="C10" s="48">
        <x:f>INDEX(Supuestos!$E$4:$G$31, MATCH($F10, Supuestos!$A$4:$A$31, 0), MATCH(C$4, Supuestos!$E$3:$G$3, 0))</x:f>
        <x:v>60</x:v>
      </x:c>
      <x:c r="D10" s="48">
        <x:f>INDEX(Supuestos!$E$4:$G$31, MATCH($F10, Supuestos!$A$4:$A$31, 0), MATCH(D$4, Supuestos!$E$3:$G$3, 0))</x:f>
        <x:v>80</x:v>
      </x:c>
      <x:c r="E10" s="30" t="inlineStr">
        <x:is>
          <x:t xml:space="preserve">%</x:t>
        </x:is>
      </x:c>
      <x:c r="F10" s="20" t="inlineStr">
        <x:is>
          <x:t xml:space="preserve">A01</x:t>
        </x:is>
      </x:c>
      <x:c r="G10" s="15" t="str">
        <x:f>IF($F10="","Derivado (fórmula)","Ver Supuestos (ID "&amp;$F10&amp;")")</x:f>
        <x:v>Ver Supuestos (ID A01)</x:v>
      </x:c>
      <x:c r="H10" s="15" t="inlineStr">
        <x:is>
          <x:t xml:space="preserve"/>
        </x:is>
      </x:c>
    </x:row>
    <x:row r="11" ht="18" customHeight="1">
      <x:c r="A11" s="9" t="inlineStr">
        <x:is>
          <x:t xml:space="preserve">Ahorro anual energía (realizado)</x:t>
        </x:is>
      </x:c>
      <x:c r="B11" s="51">
        <x:f>B8*B9/100*B10/100</x:f>
        <x:v>5760</x:v>
      </x:c>
      <x:c r="C11" s="51">
        <x:f>C8*C9/100*C10/100</x:f>
        <x:v>72000</x:v>
      </x:c>
      <x:c r="D11" s="51">
        <x:f>D8*D9/100*D10/100</x:f>
        <x:v>350000.00000000006</x:v>
      </x:c>
      <x:c r="E11" s="30" t="inlineStr">
        <x:is>
          <x:t xml:space="preserve">€</x:t>
        </x:is>
      </x:c>
      <x:c r="F11" s="30" t="inlineStr">
        <x:is>
          <x:t xml:space="preserve"/>
        </x:is>
      </x:c>
      <x:c r="G11" s="15" t="str">
        <x:f>IF($F11="","Derivado (fórmula)","Ver Supuestos (ID "&amp;$F11&amp;")")</x:f>
        <x:v>Derivado (fórmula)</x:v>
      </x:c>
      <x:c r="H11" s="15" t="inlineStr">
        <x:is>
          <x:t xml:space="preserve">Coste_base*%ahorro*adopción</x:t>
        </x:is>
      </x:c>
    </x:row>
    <x:row r="12" ht="18" customHeight="1"/>
    <x:row r="13" ht="20" customHeight="1">
      <x:c r="A13" s="32" t="inlineStr">
        <x:is>
          <x:t xml:space="preserve">Ahorro anual total (energía)</x:t>
        </x:is>
      </x:c>
      <x:c r="B13" s="44">
        <x:f>B11</x:f>
        <x:v>5760</x:v>
      </x:c>
      <x:c r="C13" s="44">
        <x:f>C11</x:f>
        <x:v>72000</x:v>
      </x:c>
      <x:c r="D13" s="44">
        <x:f>D11</x:f>
        <x:v>350000.00000000006</x:v>
      </x:c>
      <x:c r="E13" s="30" t="inlineStr">
        <x:is>
          <x:t xml:space="preserve">€</x:t>
        </x:is>
      </x:c>
      <x:c r="F13" s="33" t="inlineStr">
        <x:is>
          <x:t xml:space="preserve"/>
        </x:is>
      </x:c>
      <x:c r="G13" s="33" t="inlineStr">
        <x:is>
          <x:t xml:space="preserve"/>
        </x:is>
      </x:c>
      <x:c r="H13" s="33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5" customWidth="1"/>
    <x:col min="3" max="3" width="15" customWidth="1"/>
    <x:col min="4" max="4" width="15" customWidth="1"/>
    <x:col min="5" max="5" width="10" customWidth="1"/>
    <x:col min="6" max="6" width="11" customWidth="1"/>
    <x:col min="7" max="7" width="22" customWidth="1"/>
    <x:col min="8" max="8" width="26" customWidth="1"/>
  </x:cols>
  <x:sheetData>
    <x:row r="1" ht="28" customHeight="1">
      <x:c r="A1" s="1" t="inlineStr">
        <x:is>
          <x:t xml:space="preserve">Beneficios — Calidad (scrap/rework/lotes)</x:t>
        </x:is>
      </x:c>
    </x:row>
    <x:row r="2" ht="30" customHeight="1">
      <x:c r="A2" s="2" t="inlineStr">
        <x:is>
          <x:t xml:space="preserve">Beneficios estimados por reducción de scrap/rework y menor probabilidad de lotes fuera de especificación (resultados esperados).</x:t>
        </x:is>
      </x:c>
    </x:row>
    <x:row r="4" ht="22" customHeight="1">
      <x:c r="A4" s="6" t="inlineStr">
        <x:is>
          <x:t xml:space="preserve">Concepto</x:t>
        </x:is>
      </x:c>
      <x:c r="B4" s="6" t="inlineStr">
        <x:is>
          <x:t xml:space="preserve">Conservador</x:t>
        </x:is>
      </x:c>
      <x:c r="C4" s="6" t="inlineStr">
        <x:is>
          <x:t xml:space="preserve">Base</x:t>
        </x:is>
      </x:c>
      <x:c r="D4" s="6" t="inlineStr">
        <x:is>
          <x:t xml:space="preserve">Ambicioso</x:t>
        </x:is>
      </x:c>
      <x:c r="E4" s="6" t="inlineStr">
        <x:is>
          <x:t xml:space="preserve">Unidad</x:t>
        </x:is>
      </x:c>
      <x:c r="F4" s="6" t="inlineStr">
        <x:is>
          <x:t xml:space="preserve">ID supuesto</x:t>
        </x:is>
      </x:c>
      <x:c r="G4" s="6" t="inlineStr">
        <x:is>
          <x:t xml:space="preserve">Fuente</x:t>
        </x:is>
      </x:c>
      <x:c r="H4" s="6" t="inlineStr">
        <x:is>
          <x:t xml:space="preserve">Notas</x:t>
        </x:is>
      </x:c>
    </x:row>
    <x:row r="5" ht="18" customHeight="1">
      <x:c r="A5" s="9" t="inlineStr">
        <x:is>
          <x:t xml:space="preserve">Producción anual impactada</x:t>
        </x:is>
      </x:c>
      <x:c r="B5" s="29">
        <x:f>INDEX(Supuestos!$E$4:$G$31, MATCH($F5, Supuestos!$A$4:$A$31, 0), MATCH(B$4, Supuestos!$E$3:$G$3, 0))</x:f>
        <x:v>80000</x:v>
      </x:c>
      <x:c r="C5" s="29">
        <x:f>INDEX(Supuestos!$E$4:$G$31, MATCH($F5, Supuestos!$A$4:$A$31, 0), MATCH(C$4, Supuestos!$E$3:$G$3, 0))</x:f>
        <x:v>150000</x:v>
      </x:c>
      <x:c r="D5" s="29">
        <x:f>INDEX(Supuestos!$E$4:$G$31, MATCH($F5, Supuestos!$A$4:$A$31, 0), MATCH(D$4, Supuestos!$E$3:$G$3, 0))</x:f>
        <x:v>250000</x:v>
      </x:c>
      <x:c r="E5" s="30" t="inlineStr">
        <x:is>
          <x:t xml:space="preserve">t/año</x:t>
        </x:is>
      </x:c>
      <x:c r="F5" s="20" t="inlineStr">
        <x:is>
          <x:t xml:space="preserve">P01</x:t>
        </x:is>
      </x:c>
      <x:c r="G5" s="15" t="str">
        <x:f>IF($F5="","Derivado (fórmula)","Ver Supuestos (ID "&amp;$F5&amp;")")</x:f>
        <x:v>Ver Supuestos (ID P01)</x:v>
      </x:c>
      <x:c r="H5" s="15" t="inlineStr">
        <x:is>
          <x:t xml:space="preserve"/>
        </x:is>
      </x:c>
    </x:row>
    <x:row r="6" ht="18" customHeight="1">
      <x:c r="A6" s="9" t="inlineStr">
        <x:is>
          <x:t xml:space="preserve">Tasa scrap/rework base</x:t>
        </x:is>
      </x:c>
      <x:c r="B6" s="48">
        <x:f>INDEX(Supuestos!$E$4:$G$31, MATCH($F6, Supuestos!$A$4:$A$31, 0), MATCH(B$4, Supuestos!$E$3:$G$3, 0))</x:f>
        <x:v>0.6</x:v>
      </x:c>
      <x:c r="C6" s="48">
        <x:f>INDEX(Supuestos!$E$4:$G$31, MATCH($F6, Supuestos!$A$4:$A$31, 0), MATCH(C$4, Supuestos!$E$3:$G$3, 0))</x:f>
        <x:v>1</x:v>
      </x:c>
      <x:c r="D6" s="48">
        <x:f>INDEX(Supuestos!$E$4:$G$31, MATCH($F6, Supuestos!$A$4:$A$31, 0), MATCH(D$4, Supuestos!$E$3:$G$3, 0))</x:f>
        <x:v>1.5</x:v>
      </x:c>
      <x:c r="E6" s="30" t="inlineStr">
        <x:is>
          <x:t xml:space="preserve">%</x:t>
        </x:is>
      </x:c>
      <x:c r="F6" s="20" t="inlineStr">
        <x:is>
          <x:t xml:space="preserve">Q01</x:t>
        </x:is>
      </x:c>
      <x:c r="G6" s="15" t="str">
        <x:f>IF($F6="","Derivado (fórmula)","Ver Supuestos (ID "&amp;$F6&amp;")")</x:f>
        <x:v>Ver Supuestos (ID Q01)</x:v>
      </x:c>
      <x:c r="H6" s="15" t="inlineStr">
        <x:is>
          <x:t xml:space="preserve"/>
        </x:is>
      </x:c>
    </x:row>
    <x:row r="7" ht="18" customHeight="1">
      <x:c r="A7" s="9" t="inlineStr">
        <x:is>
          <x:t xml:space="preserve">Coste incremental scrap/rework</x:t>
        </x:is>
      </x:c>
      <x:c r="B7" s="46">
        <x:f>INDEX(Supuestos!$E$4:$G$31, MATCH($F7, Supuestos!$A$4:$A$31, 0), MATCH(B$4, Supuestos!$E$3:$G$3, 0))</x:f>
        <x:v>100</x:v>
      </x:c>
      <x:c r="C7" s="46">
        <x:f>INDEX(Supuestos!$E$4:$G$31, MATCH($F7, Supuestos!$A$4:$A$31, 0), MATCH(C$4, Supuestos!$E$3:$G$3, 0))</x:f>
        <x:v>150</x:v>
      </x:c>
      <x:c r="D7" s="46">
        <x:f>INDEX(Supuestos!$E$4:$G$31, MATCH($F7, Supuestos!$A$4:$A$31, 0), MATCH(D$4, Supuestos!$E$3:$G$3, 0))</x:f>
        <x:v>250</x:v>
      </x:c>
      <x:c r="E7" s="30" t="inlineStr">
        <x:is>
          <x:t xml:space="preserve">€/t</x:t>
        </x:is>
      </x:c>
      <x:c r="F7" s="20" t="inlineStr">
        <x:is>
          <x:t xml:space="preserve">Q02</x:t>
        </x:is>
      </x:c>
      <x:c r="G7" s="15" t="str">
        <x:f>IF($F7="","Derivado (fórmula)","Ver Supuestos (ID "&amp;$F7&amp;")")</x:f>
        <x:v>Ver Supuestos (ID Q02)</x:v>
      </x:c>
      <x:c r="H7" s="15" t="inlineStr">
        <x:is>
          <x:t xml:space="preserve"/>
        </x:is>
      </x:c>
    </x:row>
    <x:row r="8" ht="18" customHeight="1">
      <x:c r="A8" s="9" t="inlineStr">
        <x:is>
          <x:t xml:space="preserve">Coste anual scrap/rework (base)</x:t>
        </x:is>
      </x:c>
      <x:c r="B8" s="51">
        <x:f>B5*B6/100*B7</x:f>
        <x:v>48000</x:v>
      </x:c>
      <x:c r="C8" s="51">
        <x:f>C5*C6/100*C7</x:f>
        <x:v>225000</x:v>
      </x:c>
      <x:c r="D8" s="51">
        <x:f>D5*D6/100*D7</x:f>
        <x:v>937500</x:v>
      </x:c>
      <x:c r="E8" s="30" t="inlineStr">
        <x:is>
          <x:t xml:space="preserve">€</x:t>
        </x:is>
      </x:c>
      <x:c r="F8" s="30" t="inlineStr">
        <x:is>
          <x:t xml:space="preserve"/>
        </x:is>
      </x:c>
      <x:c r="G8" s="15" t="str">
        <x:f>IF($F8="","Derivado (fórmula)","Ver Supuestos (ID "&amp;$F8&amp;")")</x:f>
        <x:v>Derivado (fórmula)</x:v>
      </x:c>
      <x:c r="H8" s="15" t="inlineStr">
        <x:is>
          <x:t xml:space="preserve">P01*Q01*Q02</x:t>
        </x:is>
      </x:c>
    </x:row>
    <x:row r="9" ht="18" customHeight="1">
      <x:c r="A9" s="9" t="inlineStr">
        <x:is>
          <x:t xml:space="preserve">Reducción scrap/rework por ACQC</x:t>
        </x:is>
      </x:c>
      <x:c r="B9" s="48">
        <x:f>INDEX(Supuestos!$E$4:$G$31, MATCH($F9, Supuestos!$A$4:$A$31, 0), MATCH(B$4, Supuestos!$E$3:$G$3, 0))</x:f>
        <x:v>15</x:v>
      </x:c>
      <x:c r="C9" s="48">
        <x:f>INDEX(Supuestos!$E$4:$G$31, MATCH($F9, Supuestos!$A$4:$A$31, 0), MATCH(C$4, Supuestos!$E$3:$G$3, 0))</x:f>
        <x:v>30</x:v>
      </x:c>
      <x:c r="D9" s="48">
        <x:f>INDEX(Supuestos!$E$4:$G$31, MATCH($F9, Supuestos!$A$4:$A$31, 0), MATCH(D$4, Supuestos!$E$3:$G$3, 0))</x:f>
        <x:v>50</x:v>
      </x:c>
      <x:c r="E9" s="30" t="inlineStr">
        <x:is>
          <x:t xml:space="preserve">%</x:t>
        </x:is>
      </x:c>
      <x:c r="F9" s="20" t="inlineStr">
        <x:is>
          <x:t xml:space="preserve">Q03</x:t>
        </x:is>
      </x:c>
      <x:c r="G9" s="15" t="str">
        <x:f>IF($F9="","Derivado (fórmula)","Ver Supuestos (ID "&amp;$F9&amp;")")</x:f>
        <x:v>Ver Supuestos (ID Q03)</x:v>
      </x:c>
      <x:c r="H9" s="15" t="inlineStr">
        <x:is>
          <x:t xml:space="preserve"/>
        </x:is>
      </x:c>
    </x:row>
    <x:row r="10" ht="18" customHeight="1">
      <x:c r="A10" s="9" t="inlineStr">
        <x:is>
          <x:t xml:space="preserve">Ahorro anual por calidad (realizado)</x:t>
        </x:is>
      </x:c>
      <x:c r="B10" s="51">
        <x:f>B8*B9/100</x:f>
        <x:v>7200</x:v>
      </x:c>
      <x:c r="C10" s="51">
        <x:f>C8*C9/100</x:f>
        <x:v>67500</x:v>
      </x:c>
      <x:c r="D10" s="51">
        <x:f>D8*D9/100</x:f>
        <x:v>468750</x:v>
      </x:c>
      <x:c r="E10" s="30" t="inlineStr">
        <x:is>
          <x:t xml:space="preserve">€</x:t>
        </x:is>
      </x:c>
      <x:c r="F10" s="30" t="inlineStr">
        <x:is>
          <x:t xml:space="preserve"/>
        </x:is>
      </x:c>
      <x:c r="G10" s="15" t="str">
        <x:f>IF($F10="","Derivado (fórmula)","Ver Supuestos (ID "&amp;$F10&amp;")")</x:f>
        <x:v>Derivado (fórmula)</x:v>
      </x:c>
      <x:c r="H10" s="15" t="inlineStr">
        <x:is>
          <x:t xml:space="preserve">Coste_base*reducción</x:t>
        </x:is>
      </x:c>
    </x:row>
    <x:row r="11" ht="18" customHeight="1"/>
    <x:row r="12" ht="20" customHeight="1">
      <x:c r="A12" s="32" t="inlineStr">
        <x:is>
          <x:t xml:space="preserve">Ahorro anual total (calidad)</x:t>
        </x:is>
      </x:c>
      <x:c r="B12" s="44">
        <x:f>B10</x:f>
        <x:v>7200</x:v>
      </x:c>
      <x:c r="C12" s="44">
        <x:f>C10</x:f>
        <x:v>67500</x:v>
      </x:c>
      <x:c r="D12" s="44">
        <x:f>D10</x:f>
        <x:v>468750</x:v>
      </x:c>
      <x:c r="E12" s="30" t="inlineStr">
        <x:is>
          <x:t xml:space="preserve">€</x:t>
        </x:is>
      </x:c>
      <x:c r="F12" s="33" t="inlineStr">
        <x:is>
          <x:t xml:space="preserve"/>
        </x:is>
      </x:c>
      <x:c r="G12" s="33" t="inlineStr">
        <x:is>
          <x:t xml:space="preserve"/>
        </x:is>
      </x:c>
      <x:c r="H12" s="33" t="inlineStr">
        <x:is>
          <x:t xml:space="preserve"/>
        </x:is>
      </x:c>
    </x:row>
    <x:row r="13" ht="18" customHeight="1"/>
    <x:row r="14" ht="18" customHeight="1">
      <x:c r="A14" s="2" t="inlineStr">
        <x:is>
          <x:t xml:space="preserve">CQAs considerados en la validación ACQC: densidad@15°C, viscosidad@40°C, TAN e índice de cloro. La reducción de scrap/rework se atribuye a detección temprana y operación dentro de especificación (modo asesor).</x:t>
        </x:is>
      </x:c>
    </x:row>
    <x:row r="15" ht="18" customHeight="1"/>
    <x:row r="16" ht="18" customHeight="1"/>
    <x:row r="17" ht="18" customHeight="1"/>
  </x:sheetData>
  <x:mergeCells>
    <x:mergeCell ref="A2:H2"/>
    <x:mergeCell ref="A14:H17"/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customWidth="1"/>
    <x:col min="2" max="2" width="15" customWidth="1"/>
    <x:col min="3" max="3" width="15" customWidth="1"/>
    <x:col min="4" max="4" width="15" customWidth="1"/>
    <x:col min="5" max="5" width="10" customWidth="1"/>
    <x:col min="6" max="6" width="11" customWidth="1"/>
    <x:col min="7" max="7" width="22" customWidth="1"/>
    <x:col min="8" max="8" width="26" customWidth="1"/>
    <x:col min="9" max="9" width="3" customWidth="1"/>
  </x:cols>
  <x:sheetData>
    <x:row r="1" ht="28" customHeight="1">
      <x:c r="A1" s="1" t="inlineStr">
        <x:is>
          <x:t xml:space="preserve">Beneficios — Disponibilidad y rendimiento</x:t>
        </x:is>
      </x:c>
    </x:row>
    <x:row r="2" ht="32" customHeight="1">
      <x:c r="A2" s="2" t="inlineStr">
        <x:is>
          <x:t xml:space="preserve">Incluye (i) reducción de downtime por fallback/alertas y (ii) mejora esperada de rendimiento/throughput por optimización (modo asesor).</x:t>
        </x:is>
      </x:c>
    </x:row>
    <x:row r="4" ht="22" customHeight="1">
      <x:c r="A4" s="6" t="inlineStr">
        <x:is>
          <x:t xml:space="preserve">Concepto</x:t>
        </x:is>
      </x:c>
      <x:c r="B4" s="6" t="inlineStr">
        <x:is>
          <x:t xml:space="preserve">Conservador</x:t>
        </x:is>
      </x:c>
      <x:c r="C4" s="6" t="inlineStr">
        <x:is>
          <x:t xml:space="preserve">Base</x:t>
        </x:is>
      </x:c>
      <x:c r="D4" s="6" t="inlineStr">
        <x:is>
          <x:t xml:space="preserve">Ambicioso</x:t>
        </x:is>
      </x:c>
      <x:c r="E4" s="6" t="inlineStr">
        <x:is>
          <x:t xml:space="preserve">Unidad</x:t>
        </x:is>
      </x:c>
      <x:c r="F4" s="6" t="inlineStr">
        <x:is>
          <x:t xml:space="preserve">ID supuesto</x:t>
        </x:is>
      </x:c>
      <x:c r="G4" s="6" t="inlineStr">
        <x:is>
          <x:t xml:space="preserve">Fuente</x:t>
        </x:is>
      </x:c>
      <x:c r="H4" s="6" t="inlineStr">
        <x:is>
          <x:t xml:space="preserve">Notas</x:t>
        </x:is>
      </x:c>
      <x:c r="I4" s="6" t="inlineStr">
        <x:is>
          <x:t xml:space="preserve"/>
        </x:is>
      </x:c>
    </x:row>
    <x:row r="5" ht="18" customHeight="1">
      <x:c r="A5" s="9" t="inlineStr">
        <x:is>
          <x:t xml:space="preserve">Producción anual impactada</x:t>
        </x:is>
      </x:c>
      <x:c r="B5" s="29">
        <x:f>INDEX(Supuestos!$E$4:$G$31, MATCH($F5, Supuestos!$A$4:$A$31, 0), MATCH(B$4, Supuestos!$E$3:$G$3, 0))</x:f>
        <x:v>80000</x:v>
      </x:c>
      <x:c r="C5" s="29">
        <x:f>INDEX(Supuestos!$E$4:$G$31, MATCH($F5, Supuestos!$A$4:$A$31, 0), MATCH(C$4, Supuestos!$E$3:$G$3, 0))</x:f>
        <x:v>150000</x:v>
      </x:c>
      <x:c r="D5" s="29">
        <x:f>INDEX(Supuestos!$E$4:$G$31, MATCH($F5, Supuestos!$A$4:$A$31, 0), MATCH(D$4, Supuestos!$E$3:$G$3, 0))</x:f>
        <x:v>250000</x:v>
      </x:c>
      <x:c r="E5" s="30" t="inlineStr">
        <x:is>
          <x:t xml:space="preserve">t/año</x:t>
        </x:is>
      </x:c>
      <x:c r="F5" s="20" t="inlineStr">
        <x:is>
          <x:t xml:space="preserve">P01</x:t>
        </x:is>
      </x:c>
      <x:c r="G5" s="15" t="str">
        <x:f>IF($F5="","Derivado (fórmula)","Ver Supuestos (ID "&amp;$F5&amp;")")</x:f>
        <x:v>Ver Supuestos (ID P01)</x:v>
      </x:c>
      <x:c r="H5" s="15" t="inlineStr">
        <x:is>
          <x:t xml:space="preserve"/>
        </x:is>
      </x:c>
      <x:c r="I5" s="33" t="inlineStr">
        <x:is>
          <x:t xml:space="preserve"/>
        </x:is>
      </x:c>
    </x:row>
    <x:row r="6" ht="18" customHeight="1">
      <x:c r="A6" s="9" t="inlineStr">
        <x:is>
          <x:t xml:space="preserve">Horas por año</x:t>
        </x:is>
      </x:c>
      <x:c r="B6" s="29">
        <x:f>INDEX(Supuestos!$E$4:$G$31, MATCH($F6, Supuestos!$A$4:$A$31, 0), MATCH(B$4, Supuestos!$E$3:$G$3, 0))</x:f>
        <x:v>8760</x:v>
      </x:c>
      <x:c r="C6" s="29">
        <x:f>INDEX(Supuestos!$E$4:$G$31, MATCH($F6, Supuestos!$A$4:$A$31, 0), MATCH(C$4, Supuestos!$E$3:$G$3, 0))</x:f>
        <x:v>8760</x:v>
      </x:c>
      <x:c r="D6" s="29">
        <x:f>INDEX(Supuestos!$E$4:$G$31, MATCH($F6, Supuestos!$A$4:$A$31, 0), MATCH(D$4, Supuestos!$E$3:$G$3, 0))</x:f>
        <x:v>8760</x:v>
      </x:c>
      <x:c r="E6" s="30" t="inlineStr">
        <x:is>
          <x:t xml:space="preserve">h/año</x:t>
        </x:is>
      </x:c>
      <x:c r="F6" s="20" t="inlineStr">
        <x:is>
          <x:t xml:space="preserve">K00</x:t>
        </x:is>
      </x:c>
      <x:c r="G6" s="15" t="str">
        <x:f>IF($F6="","Derivado (fórmula)","Ver Supuestos (ID "&amp;$F6&amp;")")</x:f>
        <x:v>Ver Supuestos (ID K00)</x:v>
      </x:c>
      <x:c r="H6" s="15" t="inlineStr">
        <x:is>
          <x:t xml:space="preserve"/>
        </x:is>
      </x:c>
      <x:c r="I6" s="33" t="inlineStr">
        <x:is>
          <x:t xml:space="preserve"/>
        </x:is>
      </x:c>
    </x:row>
    <x:row r="7" ht="18" customHeight="1">
      <x:c r="A7" s="9" t="inlineStr">
        <x:is>
          <x:t xml:space="preserve">Margen por tonelada</x:t>
        </x:is>
      </x:c>
      <x:c r="B7" s="46">
        <x:f>INDEX(Supuestos!$E$4:$G$31, MATCH($F7, Supuestos!$A$4:$A$31, 0), MATCH(B$4, Supuestos!$E$3:$G$3, 0))</x:f>
        <x:v>30</x:v>
      </x:c>
      <x:c r="C7" s="46">
        <x:f>INDEX(Supuestos!$E$4:$G$31, MATCH($F7, Supuestos!$A$4:$A$31, 0), MATCH(C$4, Supuestos!$E$3:$G$3, 0))</x:f>
        <x:v>50</x:v>
      </x:c>
      <x:c r="D7" s="46">
        <x:f>INDEX(Supuestos!$E$4:$G$31, MATCH($F7, Supuestos!$A$4:$A$31, 0), MATCH(D$4, Supuestos!$E$3:$G$3, 0))</x:f>
        <x:v>80</x:v>
      </x:c>
      <x:c r="E7" s="30" t="inlineStr">
        <x:is>
          <x:t xml:space="preserve">€/t</x:t>
        </x:is>
      </x:c>
      <x:c r="F7" s="20" t="inlineStr">
        <x:is>
          <x:t xml:space="preserve">P02</x:t>
        </x:is>
      </x:c>
      <x:c r="G7" s="15" t="str">
        <x:f>IF($F7="","Derivado (fórmula)","Ver Supuestos (ID "&amp;$F7&amp;")")</x:f>
        <x:v>Ver Supuestos (ID P02)</x:v>
      </x:c>
      <x:c r="H7" s="15" t="inlineStr">
        <x:is>
          <x:t xml:space="preserve"/>
        </x:is>
      </x:c>
      <x:c r="I7" s="33" t="inlineStr">
        <x:is>
          <x:t xml:space="preserve"/>
        </x:is>
      </x:c>
    </x:row>
    <x:row r="8" ht="18" customHeight="1">
      <x:c r="A8" s="9" t="inlineStr">
        <x:is>
          <x:t xml:space="preserve">Downtime anual (baseline)</x:t>
        </x:is>
      </x:c>
      <x:c r="B8" s="29">
        <x:f>INDEX(Supuestos!$E$4:$G$31, MATCH($F8, Supuestos!$A$4:$A$31, 0), MATCH(B$4, Supuestos!$E$3:$G$3, 0))</x:f>
        <x:v>60</x:v>
      </x:c>
      <x:c r="C8" s="29">
        <x:f>INDEX(Supuestos!$E$4:$G$31, MATCH($F8, Supuestos!$A$4:$A$31, 0), MATCH(C$4, Supuestos!$E$3:$G$3, 0))</x:f>
        <x:v>40</x:v>
      </x:c>
      <x:c r="D8" s="29">
        <x:f>INDEX(Supuestos!$E$4:$G$31, MATCH($F8, Supuestos!$A$4:$A$31, 0), MATCH(D$4, Supuestos!$E$3:$G$3, 0))</x:f>
        <x:v>20</x:v>
      </x:c>
      <x:c r="E8" s="30" t="inlineStr">
        <x:is>
          <x:t xml:space="preserve">h/año</x:t>
        </x:is>
      </x:c>
      <x:c r="F8" s="20" t="inlineStr">
        <x:is>
          <x:t xml:space="preserve">A02</x:t>
        </x:is>
      </x:c>
      <x:c r="G8" s="15" t="str">
        <x:f>IF($F8="","Derivado (fórmula)","Ver Supuestos (ID "&amp;$F8&amp;")")</x:f>
        <x:v>Ver Supuestos (ID A02)</x:v>
      </x:c>
      <x:c r="H8" s="15" t="inlineStr">
        <x:is>
          <x:t xml:space="preserve"/>
        </x:is>
      </x:c>
      <x:c r="I8" s="33" t="inlineStr">
        <x:is>
          <x:t xml:space="preserve"/>
        </x:is>
      </x:c>
    </x:row>
    <x:row r="9" ht="18" customHeight="1">
      <x:c r="A9" s="9" t="inlineStr">
        <x:is>
          <x:t xml:space="preserve">Reducción downtime por ACQC</x:t>
        </x:is>
      </x:c>
      <x:c r="B9" s="48">
        <x:f>INDEX(Supuestos!$E$4:$G$31, MATCH($F9, Supuestos!$A$4:$A$31, 0), MATCH(B$4, Supuestos!$E$3:$G$3, 0))</x:f>
        <x:v>10</x:v>
      </x:c>
      <x:c r="C9" s="48">
        <x:f>INDEX(Supuestos!$E$4:$G$31, MATCH($F9, Supuestos!$A$4:$A$31, 0), MATCH(C$4, Supuestos!$E$3:$G$3, 0))</x:f>
        <x:v>25</x:v>
      </x:c>
      <x:c r="D9" s="48">
        <x:f>INDEX(Supuestos!$E$4:$G$31, MATCH($F9, Supuestos!$A$4:$A$31, 0), MATCH(D$4, Supuestos!$E$3:$G$3, 0))</x:f>
        <x:v>40</x:v>
      </x:c>
      <x:c r="E9" s="30" t="inlineStr">
        <x:is>
          <x:t xml:space="preserve">%</x:t>
        </x:is>
      </x:c>
      <x:c r="F9" s="20" t="inlineStr">
        <x:is>
          <x:t xml:space="preserve">A03</x:t>
        </x:is>
      </x:c>
      <x:c r="G9" s="15" t="str">
        <x:f>IF($F9="","Derivado (fórmula)","Ver Supuestos (ID "&amp;$F9&amp;")")</x:f>
        <x:v>Ver Supuestos (ID A03)</x:v>
      </x:c>
      <x:c r="H9" s="15" t="inlineStr">
        <x:is>
          <x:t xml:space="preserve"/>
        </x:is>
      </x:c>
      <x:c r="I9" s="33" t="inlineStr">
        <x:is>
          <x:t xml:space="preserve"/>
        </x:is>
      </x:c>
    </x:row>
    <x:row r="10" ht="18" customHeight="1">
      <x:c r="A10" s="9" t="inlineStr">
        <x:is>
          <x:t xml:space="preserve">Producción perdida por downtime (t/año)</x:t>
        </x:is>
      </x:c>
      <x:c r="B10" s="52">
        <x:f>B5/B6*B8</x:f>
        <x:v>547.945205479452</x:v>
      </x:c>
      <x:c r="C10" s="52">
        <x:f>C5/C6*C8</x:f>
        <x:v>684.931506849315</x:v>
      </x:c>
      <x:c r="D10" s="52">
        <x:f>D5/D6*D8</x:f>
        <x:v>570.7762557077625</x:v>
      </x:c>
      <x:c r="E10" s="30" t="inlineStr">
        <x:is>
          <x:t xml:space="preserve">t/año</x:t>
        </x:is>
      </x:c>
      <x:c r="F10" s="30" t="inlineStr">
        <x:is>
          <x:t xml:space="preserve"/>
        </x:is>
      </x:c>
      <x:c r="G10" s="15" t="str">
        <x:f>IF($F10="","Derivado (fórmula)","Ver Supuestos (ID "&amp;$F10&amp;")")</x:f>
        <x:v>Derivado (fórmula)</x:v>
      </x:c>
      <x:c r="H10" s="15" t="inlineStr">
        <x:is>
          <x:t xml:space="preserve"/>
        </x:is>
      </x:c>
      <x:c r="I10" s="33" t="inlineStr">
        <x:is>
          <x:t xml:space="preserve"/>
        </x:is>
      </x:c>
    </x:row>
    <x:row r="11" ht="18" customHeight="1">
      <x:c r="A11" s="9" t="inlineStr">
        <x:is>
          <x:t xml:space="preserve">Coste anual por downtime (margen perdido)</x:t>
        </x:is>
      </x:c>
      <x:c r="B11" s="53">
        <x:f>B10*B7</x:f>
        <x:v>16438.35616438356</x:v>
      </x:c>
      <x:c r="C11" s="53">
        <x:f>C10*C7</x:f>
        <x:v>34246.57534246575</x:v>
      </x:c>
      <x:c r="D11" s="53">
        <x:f>D10*D7</x:f>
        <x:v>45662.100456621</x:v>
      </x:c>
      <x:c r="E11" s="30" t="inlineStr">
        <x:is>
          <x:t xml:space="preserve">€</x:t>
        </x:is>
      </x:c>
      <x:c r="F11" s="30" t="inlineStr">
        <x:is>
          <x:t xml:space="preserve"/>
        </x:is>
      </x:c>
      <x:c r="G11" s="15" t="str">
        <x:f>IF($F11="","Derivado (fórmula)","Ver Supuestos (ID "&amp;$F11&amp;")")</x:f>
        <x:v>Derivado (fórmula)</x:v>
      </x:c>
      <x:c r="H11" s="15" t="inlineStr">
        <x:is>
          <x:t xml:space="preserve"/>
        </x:is>
      </x:c>
      <x:c r="I11" s="33" t="inlineStr">
        <x:is>
          <x:t xml:space="preserve"/>
        </x:is>
      </x:c>
    </x:row>
    <x:row r="12" ht="18" customHeight="1">
      <x:c r="A12" s="9" t="inlineStr">
        <x:is>
          <x:t xml:space="preserve">Ahorro anual por reducción de downtime</x:t>
        </x:is>
      </x:c>
      <x:c r="B12" s="53">
        <x:f>B11*B9/100</x:f>
        <x:v>1643.835616438356</x:v>
      </x:c>
      <x:c r="C12" s="53">
        <x:f>C11*C9/100</x:f>
        <x:v>8561.643835616438</x:v>
      </x:c>
      <x:c r="D12" s="53">
        <x:f>D11*D9/100</x:f>
        <x:v>18264.8401826484</x:v>
      </x:c>
      <x:c r="E12" s="30" t="inlineStr">
        <x:is>
          <x:t xml:space="preserve">€</x:t>
        </x:is>
      </x:c>
      <x:c r="F12" s="30" t="inlineStr">
        <x:is>
          <x:t xml:space="preserve"/>
        </x:is>
      </x:c>
      <x:c r="G12" s="15" t="str">
        <x:f>IF($F12="","Derivado (fórmula)","Ver Supuestos (ID "&amp;$F12&amp;")")</x:f>
        <x:v>Derivado (fórmula)</x:v>
      </x:c>
      <x:c r="H12" s="15" t="inlineStr">
        <x:is>
          <x:t xml:space="preserve"/>
        </x:is>
      </x:c>
      <x:c r="I12" s="33" t="inlineStr">
        <x:is>
          <x:t xml:space="preserve"/>
        </x:is>
      </x:c>
    </x:row>
    <x:row r="13" ht="18" customHeight="1">
      <x:c r="A13" s="9" t="inlineStr">
        <x:is>
          <x:t xml:space="preserve">Mejora throughput/rendimiento por optimización (esperada)</x:t>
        </x:is>
      </x:c>
      <x:c r="B13" s="48">
        <x:f>INDEX(Supuestos!$E$4:$G$31, MATCH($F13, Supuestos!$A$4:$A$31, 0), MATCH(B$4, Supuestos!$E$3:$G$3, 0))</x:f>
        <x:v>1</x:v>
      </x:c>
      <x:c r="C13" s="48">
        <x:f>INDEX(Supuestos!$E$4:$G$31, MATCH($F13, Supuestos!$A$4:$A$31, 0), MATCH(C$4, Supuestos!$E$3:$G$3, 0))</x:f>
        <x:v>3</x:v>
      </x:c>
      <x:c r="D13" s="48">
        <x:f>INDEX(Supuestos!$E$4:$G$31, MATCH($F13, Supuestos!$A$4:$A$31, 0), MATCH(D$4, Supuestos!$E$3:$G$3, 0))</x:f>
        <x:v>5</x:v>
      </x:c>
      <x:c r="E13" s="30" t="inlineStr">
        <x:is>
          <x:t xml:space="preserve">%</x:t>
        </x:is>
      </x:c>
      <x:c r="F13" s="20" t="inlineStr">
        <x:is>
          <x:t xml:space="preserve">P03</x:t>
        </x:is>
      </x:c>
      <x:c r="G13" s="15" t="str">
        <x:f>IF($F13="","Derivado (fórmula)","Ver Supuestos (ID "&amp;$F13&amp;")")</x:f>
        <x:v>Ver Supuestos (ID P03)</x:v>
      </x:c>
      <x:c r="H13" s="15" t="inlineStr">
        <x:is>
          <x:t xml:space="preserve"/>
        </x:is>
      </x:c>
      <x:c r="I13" s="33" t="inlineStr">
        <x:is>
          <x:t xml:space="preserve"/>
        </x:is>
      </x:c>
    </x:row>
    <x:row r="14" ht="18" customHeight="1">
      <x:c r="A14" s="9" t="inlineStr">
        <x:is>
          <x:t xml:space="preserve">Adopción efectiva (human-in-the-loop)</x:t>
        </x:is>
      </x:c>
      <x:c r="B14" s="48">
        <x:f>INDEX(Supuestos!$E$4:$G$31, MATCH($F14, Supuestos!$A$4:$A$31, 0), MATCH(B$4, Supuestos!$E$3:$G$3, 0))</x:f>
        <x:v>40</x:v>
      </x:c>
      <x:c r="C14" s="48">
        <x:f>INDEX(Supuestos!$E$4:$G$31, MATCH($F14, Supuestos!$A$4:$A$31, 0), MATCH(C$4, Supuestos!$E$3:$G$3, 0))</x:f>
        <x:v>60</x:v>
      </x:c>
      <x:c r="D14" s="48">
        <x:f>INDEX(Supuestos!$E$4:$G$31, MATCH($F14, Supuestos!$A$4:$A$31, 0), MATCH(D$4, Supuestos!$E$3:$G$3, 0))</x:f>
        <x:v>80</x:v>
      </x:c>
      <x:c r="E14" s="30" t="inlineStr">
        <x:is>
          <x:t xml:space="preserve">%</x:t>
        </x:is>
      </x:c>
      <x:c r="F14" s="20" t="inlineStr">
        <x:is>
          <x:t xml:space="preserve">A01</x:t>
        </x:is>
      </x:c>
      <x:c r="G14" s="15" t="str">
        <x:f>IF($F14="","Derivado (fórmula)","Ver Supuestos (ID "&amp;$F14&amp;")")</x:f>
        <x:v>Ver Supuestos (ID A01)</x:v>
      </x:c>
      <x:c r="H14" s="15" t="inlineStr">
        <x:is>
          <x:t xml:space="preserve"/>
        </x:is>
      </x:c>
      <x:c r="I14" s="33" t="inlineStr">
        <x:is>
          <x:t xml:space="preserve"/>
        </x:is>
      </x:c>
    </x:row>
    <x:row r="15" ht="18" customHeight="1">
      <x:c r="A15" s="9" t="inlineStr">
        <x:is>
          <x:t xml:space="preserve">Beneficio anual por throughput (margen)</x:t>
        </x:is>
      </x:c>
      <x:c r="B15" s="53">
        <x:f>B5*B13/100*B7*B14/100</x:f>
        <x:v>9600</x:v>
      </x:c>
      <x:c r="C15" s="53">
        <x:f>C5*C13/100*C7*C14/100</x:f>
        <x:v>135000</x:v>
      </x:c>
      <x:c r="D15" s="53">
        <x:f>D5*D13/100*D7*D14/100</x:f>
        <x:v>800000</x:v>
      </x:c>
      <x:c r="E15" s="30" t="inlineStr">
        <x:is>
          <x:t xml:space="preserve">€</x:t>
        </x:is>
      </x:c>
      <x:c r="F15" s="30" t="inlineStr">
        <x:is>
          <x:t xml:space="preserve"/>
        </x:is>
      </x:c>
      <x:c r="G15" s="15" t="str">
        <x:f>IF($F15="","Derivado (fórmula)","Ver Supuestos (ID "&amp;$F15&amp;")")</x:f>
        <x:v>Derivado (fórmula)</x:v>
      </x:c>
      <x:c r="H15" s="15" t="inlineStr">
        <x:is>
          <x:t xml:space="preserve"/>
        </x:is>
      </x:c>
      <x:c r="I15" s="33" t="inlineStr">
        <x:is>
          <x:t xml:space="preserve"/>
        </x:is>
      </x:c>
    </x:row>
    <x:row r="16" ht="18" customHeight="1">
      <x:c r="A16" s="36" t="inlineStr">
        <x:is>
          <x:t xml:space="preserve">Beneficio anual total (disponibilidad+rto)</x:t>
        </x:is>
      </x:c>
      <x:c r="B16" s="54">
        <x:f>B12+B15</x:f>
        <x:v>11243.835616438357</x:v>
      </x:c>
      <x:c r="C16" s="54">
        <x:f>C12+C15</x:f>
        <x:v>143561.64383561644</x:v>
      </x:c>
      <x:c r="D16" s="54">
        <x:f>D12+D15</x:f>
        <x:v>818264.8401826484</x:v>
      </x:c>
      <x:c r="E16" s="38" t="inlineStr">
        <x:is>
          <x:t xml:space="preserve">€</x:t>
        </x:is>
      </x:c>
      <x:c r="F16" s="38" t="inlineStr">
        <x:is>
          <x:t xml:space="preserve"/>
        </x:is>
      </x:c>
      <x:c r="G16" s="39" t="str">
        <x:f>IF($F16="","Derivado (fórmula)","Ver Supuestos (ID "&amp;$F16&amp;")")</x:f>
        <x:v>Derivado (fórmula)</x:v>
      </x:c>
      <x:c r="H16" s="36" t="inlineStr">
        <x:is>
          <x:t xml:space="preserve"/>
        </x:is>
      </x:c>
      <x:c r="I16" s="40" t="inlineStr">
        <x:is>
          <x:t xml:space="preserve"/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5" customWidth="1"/>
    <x:col min="3" max="3" width="15" customWidth="1"/>
    <x:col min="4" max="4" width="15" customWidth="1"/>
    <x:col min="5" max="5" width="10" customWidth="1"/>
    <x:col min="6" max="6" width="11" customWidth="1"/>
    <x:col min="7" max="7" width="22" customWidth="1"/>
    <x:col min="8" max="8" width="26" customWidth="1"/>
  </x:cols>
  <x:sheetData>
    <x:row r="1" ht="28" customHeight="1">
      <x:c r="A1" s="1" t="inlineStr">
        <x:is>
          <x:t xml:space="preserve">Costes — CAPEX / OPEX (estimación piloto)</x:t>
        </x:is>
      </x:c>
    </x:row>
    <x:row r="2" ht="30" customHeight="1">
      <x:c r="A2" s="2" t="inlineStr">
        <x:is>
          <x:t xml:space="preserve">Los costes deben trazarse a cotizaciones, listas internas o entrevistas. Valores actuales son supuestos editables salvo donde se indique fuente.</x:t>
        </x:is>
      </x:c>
    </x:row>
    <x:row r="4" ht="22" customHeight="1">
      <x:c r="A4" s="6" t="inlineStr">
        <x:is>
          <x:t xml:space="preserve">Concepto</x:t>
        </x:is>
      </x:c>
      <x:c r="B4" s="6" t="inlineStr">
        <x:is>
          <x:t xml:space="preserve">Conservador</x:t>
        </x:is>
      </x:c>
      <x:c r="C4" s="6" t="inlineStr">
        <x:is>
          <x:t xml:space="preserve">Base</x:t>
        </x:is>
      </x:c>
      <x:c r="D4" s="6" t="inlineStr">
        <x:is>
          <x:t xml:space="preserve">Ambicioso</x:t>
        </x:is>
      </x:c>
      <x:c r="E4" s="6" t="inlineStr">
        <x:is>
          <x:t xml:space="preserve">Unidad</x:t>
        </x:is>
      </x:c>
      <x:c r="F4" s="6" t="inlineStr">
        <x:is>
          <x:t xml:space="preserve">ID supuesto</x:t>
        </x:is>
      </x:c>
      <x:c r="G4" s="6" t="inlineStr">
        <x:is>
          <x:t xml:space="preserve">Fuente</x:t>
        </x:is>
      </x:c>
      <x:c r="H4" s="6" t="inlineStr">
        <x:is>
          <x:t xml:space="preserve">Notas</x:t>
        </x:is>
      </x:c>
    </x:row>
    <x:row r="5" ht="18" customHeight="1">
      <x:c r="A5" s="32" t="inlineStr">
        <x:is>
          <x:t xml:space="preserve">CAPEX — PAT (analizador + instalación)</x:t>
        </x:is>
      </x:c>
      <x:c r="B5" s="46">
        <x:f>INDEX(Supuestos!$E$4:$G$31, MATCH($F5, Supuestos!$A$4:$A$31, 0), MATCH(B$4, Supuestos!$E$3:$G$3, 0))</x:f>
        <x:v>120000</x:v>
      </x:c>
      <x:c r="C5" s="46">
        <x:f>INDEX(Supuestos!$E$4:$G$31, MATCH($F5, Supuestos!$A$4:$A$31, 0), MATCH(C$4, Supuestos!$E$3:$G$3, 0))</x:f>
        <x:v>180000</x:v>
      </x:c>
      <x:c r="D5" s="46">
        <x:f>INDEX(Supuestos!$E$4:$G$31, MATCH($F5, Supuestos!$A$4:$A$31, 0), MATCH(D$4, Supuestos!$E$3:$G$3, 0))</x:f>
        <x:v>250000</x:v>
      </x:c>
      <x:c r="E5" s="30" t="inlineStr">
        <x:is>
          <x:t xml:space="preserve">€</x:t>
        </x:is>
      </x:c>
      <x:c r="F5" s="20" t="inlineStr">
        <x:is>
          <x:t xml:space="preserve">C01</x:t>
        </x:is>
      </x:c>
      <x:c r="G5" s="15" t="str">
        <x:f>IF($F5="","Derivado (fórmula)","Ver Supuestos (ID "&amp;$F5&amp;")")</x:f>
        <x:v>Ver Supuestos (ID C01)</x:v>
      </x:c>
      <x:c r="H5" s="15" t="inlineStr">
        <x:is>
          <x:t xml:space="preserve"/>
        </x:is>
      </x:c>
    </x:row>
    <x:row r="6" ht="18" customHeight="1">
      <x:c r="A6" s="32" t="inlineStr">
        <x:is>
          <x:t xml:space="preserve">CAPEX — Edge industrial + armario</x:t>
        </x:is>
      </x:c>
      <x:c r="B6" s="46">
        <x:f>INDEX(Supuestos!$E$4:$G$31, MATCH($F6, Supuestos!$A$4:$A$31, 0), MATCH(B$4, Supuestos!$E$3:$G$3, 0))</x:f>
        <x:v>6000</x:v>
      </x:c>
      <x:c r="C6" s="46">
        <x:f>INDEX(Supuestos!$E$4:$G$31, MATCH($F6, Supuestos!$A$4:$A$31, 0), MATCH(C$4, Supuestos!$E$3:$G$3, 0))</x:f>
        <x:v>12000</x:v>
      </x:c>
      <x:c r="D6" s="46">
        <x:f>INDEX(Supuestos!$E$4:$G$31, MATCH($F6, Supuestos!$A$4:$A$31, 0), MATCH(D$4, Supuestos!$E$3:$G$3, 0))</x:f>
        <x:v>25000</x:v>
      </x:c>
      <x:c r="E6" s="30" t="inlineStr">
        <x:is>
          <x:t xml:space="preserve">€</x:t>
        </x:is>
      </x:c>
      <x:c r="F6" s="20" t="inlineStr">
        <x:is>
          <x:t xml:space="preserve">C02</x:t>
        </x:is>
      </x:c>
      <x:c r="G6" s="15" t="str">
        <x:f>IF($F6="","Derivado (fórmula)","Ver Supuestos (ID "&amp;$F6&amp;")")</x:f>
        <x:v>Ver Supuestos (ID C02)</x:v>
      </x:c>
      <x:c r="H6" s="15" t="inlineStr">
        <x:is>
          <x:t xml:space="preserve"/>
        </x:is>
      </x:c>
    </x:row>
    <x:row r="7" ht="18" customHeight="1">
      <x:c r="A7" s="32" t="inlineStr">
        <x:is>
          <x:t xml:space="preserve">CAPEX — Integración OT/IT</x:t>
        </x:is>
      </x:c>
      <x:c r="B7" s="46">
        <x:f>INDEX(Supuestos!$E$4:$G$31, MATCH($F7, Supuestos!$A$4:$A$31, 0), MATCH(B$4, Supuestos!$E$3:$G$3, 0))</x:f>
        <x:v>60000</x:v>
      </x:c>
      <x:c r="C7" s="46">
        <x:f>INDEX(Supuestos!$E$4:$G$31, MATCH($F7, Supuestos!$A$4:$A$31, 0), MATCH(C$4, Supuestos!$E$3:$G$3, 0))</x:f>
        <x:v>120000</x:v>
      </x:c>
      <x:c r="D7" s="46">
        <x:f>INDEX(Supuestos!$E$4:$G$31, MATCH($F7, Supuestos!$A$4:$A$31, 0), MATCH(D$4, Supuestos!$E$3:$G$3, 0))</x:f>
        <x:v>200000</x:v>
      </x:c>
      <x:c r="E7" s="30" t="inlineStr">
        <x:is>
          <x:t xml:space="preserve">€</x:t>
        </x:is>
      </x:c>
      <x:c r="F7" s="20" t="inlineStr">
        <x:is>
          <x:t xml:space="preserve">C03</x:t>
        </x:is>
      </x:c>
      <x:c r="G7" s="15" t="str">
        <x:f>IF($F7="","Derivado (fórmula)","Ver Supuestos (ID "&amp;$F7&amp;")")</x:f>
        <x:v>Ver Supuestos (ID C03)</x:v>
      </x:c>
      <x:c r="H7" s="15" t="inlineStr">
        <x:is>
          <x:t xml:space="preserve"/>
        </x:is>
      </x:c>
    </x:row>
    <x:row r="8" ht="18" customHeight="1">
      <x:c r="A8" s="32" t="inlineStr">
        <x:is>
          <x:t xml:space="preserve">CAPEX — Ciberseguridad/hardening</x:t>
        </x:is>
      </x:c>
      <x:c r="B8" s="46">
        <x:f>INDEX(Supuestos!$E$4:$G$31, MATCH($F8, Supuestos!$A$4:$A$31, 0), MATCH(B$4, Supuestos!$E$3:$G$3, 0))</x:f>
        <x:v>20000</x:v>
      </x:c>
      <x:c r="C8" s="46">
        <x:f>INDEX(Supuestos!$E$4:$G$31, MATCH($F8, Supuestos!$A$4:$A$31, 0), MATCH(C$4, Supuestos!$E$3:$G$3, 0))</x:f>
        <x:v>45000</x:v>
      </x:c>
      <x:c r="D8" s="46">
        <x:f>INDEX(Supuestos!$E$4:$G$31, MATCH($F8, Supuestos!$A$4:$A$31, 0), MATCH(D$4, Supuestos!$E$3:$G$3, 0))</x:f>
        <x:v>80000</x:v>
      </x:c>
      <x:c r="E8" s="30" t="inlineStr">
        <x:is>
          <x:t xml:space="preserve">€</x:t>
        </x:is>
      </x:c>
      <x:c r="F8" s="20" t="inlineStr">
        <x:is>
          <x:t xml:space="preserve">C04</x:t>
        </x:is>
      </x:c>
      <x:c r="G8" s="15" t="str">
        <x:f>IF($F8="","Derivado (fórmula)","Ver Supuestos (ID "&amp;$F8&amp;")")</x:f>
        <x:v>Ver Supuestos (ID C04)</x:v>
      </x:c>
      <x:c r="H8" s="15" t="inlineStr">
        <x:is>
          <x:t xml:space="preserve"/>
        </x:is>
      </x:c>
    </x:row>
    <x:row r="9" ht="18" customHeight="1">
      <x:c r="A9" s="32" t="inlineStr">
        <x:is>
          <x:t xml:space="preserve">CAPEX — Gestión del cambio/formación</x:t>
        </x:is>
      </x:c>
      <x:c r="B9" s="46">
        <x:f>INDEX(Supuestos!$E$4:$G$31, MATCH($F9, Supuestos!$A$4:$A$31, 0), MATCH(B$4, Supuestos!$E$3:$G$3, 0))</x:f>
        <x:v>10000</x:v>
      </x:c>
      <x:c r="C9" s="46">
        <x:f>INDEX(Supuestos!$E$4:$G$31, MATCH($F9, Supuestos!$A$4:$A$31, 0), MATCH(C$4, Supuestos!$E$3:$G$3, 0))</x:f>
        <x:v>25000</x:v>
      </x:c>
      <x:c r="D9" s="46">
        <x:f>INDEX(Supuestos!$E$4:$G$31, MATCH($F9, Supuestos!$A$4:$A$31, 0), MATCH(D$4, Supuestos!$E$3:$G$3, 0))</x:f>
        <x:v>50000</x:v>
      </x:c>
      <x:c r="E9" s="30" t="inlineStr">
        <x:is>
          <x:t xml:space="preserve">€</x:t>
        </x:is>
      </x:c>
      <x:c r="F9" s="20" t="inlineStr">
        <x:is>
          <x:t xml:space="preserve">C05</x:t>
        </x:is>
      </x:c>
      <x:c r="G9" s="15" t="str">
        <x:f>IF($F9="","Derivado (fórmula)","Ver Supuestos (ID "&amp;$F9&amp;")")</x:f>
        <x:v>Ver Supuestos (ID C05)</x:v>
      </x:c>
      <x:c r="H9" s="15" t="inlineStr">
        <x:is>
          <x:t xml:space="preserve"/>
        </x:is>
      </x:c>
    </x:row>
    <x:row r="10" ht="18" customHeight="1">
      <x:c r="A10" s="32" t="inlineStr">
        <x:is>
          <x:t xml:space="preserve">Subtotal CAPEX (sin contingencia)</x:t>
        </x:is>
      </x:c>
      <x:c r="B10" s="51">
        <x:f>SUM(B5:B9)</x:f>
        <x:v>216000</x:v>
      </x:c>
      <x:c r="C10" s="51">
        <x:f>SUM(C5:C9)</x:f>
        <x:v>382000</x:v>
      </x:c>
      <x:c r="D10" s="51">
        <x:f>SUM(D5:D9)</x:f>
        <x:v>605000</x:v>
      </x:c>
      <x:c r="E10" s="30" t="inlineStr">
        <x:is>
          <x:t xml:space="preserve">€</x:t>
        </x:is>
      </x:c>
      <x:c r="F10" s="30" t="inlineStr">
        <x:is>
          <x:t xml:space="preserve"/>
        </x:is>
      </x:c>
      <x:c r="G10" s="15" t="str">
        <x:f>IF($F10="","Derivado (fórmula)","Ver Supuestos (ID "&amp;$F10&amp;")")</x:f>
        <x:v>Derivado (fórmula)</x:v>
      </x:c>
      <x:c r="H10" s="15" t="inlineStr">
        <x:is>
          <x:t xml:space="preserve"/>
        </x:is>
      </x:c>
    </x:row>
    <x:row r="11" ht="18" customHeight="1">
      <x:c r="A11" s="32" t="inlineStr">
        <x:is>
          <x:t xml:space="preserve">Contingencia CAPEX</x:t>
        </x:is>
      </x:c>
      <x:c r="B11" s="48">
        <x:f>INDEX(Supuestos!$E$4:$G$31, MATCH($F11, Supuestos!$A$4:$A$31, 0), MATCH(B$4, Supuestos!$E$3:$G$3, 0))</x:f>
        <x:v>10</x:v>
      </x:c>
      <x:c r="C11" s="48">
        <x:f>INDEX(Supuestos!$E$4:$G$31, MATCH($F11, Supuestos!$A$4:$A$31, 0), MATCH(C$4, Supuestos!$E$3:$G$3, 0))</x:f>
        <x:v>15</x:v>
      </x:c>
      <x:c r="D11" s="48">
        <x:f>INDEX(Supuestos!$E$4:$G$31, MATCH($F11, Supuestos!$A$4:$A$31, 0), MATCH(D$4, Supuestos!$E$3:$G$3, 0))</x:f>
        <x:v>20</x:v>
      </x:c>
      <x:c r="E11" s="30" t="inlineStr">
        <x:is>
          <x:t xml:space="preserve">%</x:t>
        </x:is>
      </x:c>
      <x:c r="F11" s="20" t="inlineStr">
        <x:is>
          <x:t xml:space="preserve">C06</x:t>
        </x:is>
      </x:c>
      <x:c r="G11" s="15" t="str">
        <x:f>IF($F11="","Derivado (fórmula)","Ver Supuestos (ID "&amp;$F11&amp;")")</x:f>
        <x:v>Ver Supuestos (ID C06)</x:v>
      </x:c>
      <x:c r="H11" s="15" t="inlineStr">
        <x:is>
          <x:t xml:space="preserve"/>
        </x:is>
      </x:c>
    </x:row>
    <x:row r="12" ht="18" customHeight="1">
      <x:c r="A12" s="9" t="inlineStr">
        <x:is>
          <x:t xml:space="preserve">Contingencia (€)</x:t>
        </x:is>
      </x:c>
      <x:c r="B12" s="51">
        <x:f>B10*B11/100</x:f>
        <x:v>21600</x:v>
      </x:c>
      <x:c r="C12" s="51">
        <x:f>C10*C11/100</x:f>
        <x:v>57300</x:v>
      </x:c>
      <x:c r="D12" s="51">
        <x:f>D10*D11/100</x:f>
        <x:v>121000</x:v>
      </x:c>
      <x:c r="E12" s="30" t="inlineStr">
        <x:is>
          <x:t xml:space="preserve">€</x:t>
        </x:is>
      </x:c>
      <x:c r="F12" s="30" t="inlineStr">
        <x:is>
          <x:t xml:space="preserve"/>
        </x:is>
      </x:c>
      <x:c r="G12" s="15" t="str">
        <x:f>IF($F12="","Derivado (fórmula)","Ver Supuestos (ID "&amp;$F12&amp;")")</x:f>
        <x:v>Derivado (fórmula)</x:v>
      </x:c>
      <x:c r="H12" s="15" t="inlineStr">
        <x:is>
          <x:t xml:space="preserve"/>
        </x:is>
      </x:c>
    </x:row>
    <x:row r="13" ht="18" customHeight="1">
      <x:c r="A13" s="32" t="inlineStr">
        <x:is>
          <x:t xml:space="preserve">CAPEX total</x:t>
        </x:is>
      </x:c>
      <x:c r="B13" s="51">
        <x:f>B10+B12</x:f>
        <x:v>237600</x:v>
      </x:c>
      <x:c r="C13" s="51">
        <x:f>C10+C12</x:f>
        <x:v>439300</x:v>
      </x:c>
      <x:c r="D13" s="51">
        <x:f>D10+D12</x:f>
        <x:v>726000</x:v>
      </x:c>
      <x:c r="E13" s="30" t="inlineStr">
        <x:is>
          <x:t xml:space="preserve">€</x:t>
        </x:is>
      </x:c>
      <x:c r="F13" s="30" t="inlineStr">
        <x:is>
          <x:t xml:space="preserve"/>
        </x:is>
      </x:c>
      <x:c r="G13" s="15" t="str">
        <x:f>IF($F13="","Derivado (fórmula)","Ver Supuestos (ID "&amp;$F13&amp;")")</x:f>
        <x:v>Derivado (fórmula)</x:v>
      </x:c>
      <x:c r="H13" s="15" t="inlineStr">
        <x:is>
          <x:t xml:space="preserve"/>
        </x:is>
      </x:c>
    </x:row>
    <x:row r="14" ht="18" customHeight="1"/>
    <x:row r="15" ht="18" customHeight="1"/>
    <x:row r="16" ht="20" customHeight="1">
      <x:c r="A16" s="41" t="inlineStr">
        <x:is>
          <x:t xml:space="preserve">OPEX anual</x:t>
        </x:is>
      </x:c>
    </x:row>
    <x:row r="17" ht="18" customHeight="1">
      <x:c r="A17" s="9" t="inlineStr">
        <x:is>
          <x:t xml:space="preserve">OPEX — Mantenimiento PAT</x:t>
        </x:is>
      </x:c>
      <x:c r="B17" s="46">
        <x:f>INDEX(Supuestos!$E$4:$G$31, MATCH($F17, Supuestos!$A$4:$A$31, 0), MATCH(B$4, Supuestos!$E$3:$G$3, 0))</x:f>
        <x:v>8000</x:v>
      </x:c>
      <x:c r="C17" s="46">
        <x:f>INDEX(Supuestos!$E$4:$G$31, MATCH($F17, Supuestos!$A$4:$A$31, 0), MATCH(C$4, Supuestos!$E$3:$G$3, 0))</x:f>
        <x:v>15000</x:v>
      </x:c>
      <x:c r="D17" s="46">
        <x:f>INDEX(Supuestos!$E$4:$G$31, MATCH($F17, Supuestos!$A$4:$A$31, 0), MATCH(D$4, Supuestos!$E$3:$G$3, 0))</x:f>
        <x:v>25000</x:v>
      </x:c>
      <x:c r="E17" s="30" t="inlineStr">
        <x:is>
          <x:t xml:space="preserve">€/año</x:t>
        </x:is>
      </x:c>
      <x:c r="F17" s="20" t="inlineStr">
        <x:is>
          <x:t xml:space="preserve">O01</x:t>
        </x:is>
      </x:c>
      <x:c r="G17" s="15" t="str">
        <x:f>IF($F17="","Derivado (fórmula)","Ver Supuestos (ID "&amp;$F17&amp;")")</x:f>
        <x:v>Ver Supuestos (ID O01)</x:v>
      </x:c>
      <x:c r="H17" s="15" t="inlineStr">
        <x:is>
          <x:t xml:space="preserve"/>
        </x:is>
      </x:c>
    </x:row>
    <x:row r="18" ht="18" customHeight="1">
      <x:c r="A18" s="9" t="inlineStr">
        <x:is>
          <x:t xml:space="preserve">OPEX — Soporte MLOps/analítica</x:t>
        </x:is>
      </x:c>
      <x:c r="B18" s="46">
        <x:f>INDEX(Supuestos!$E$4:$G$31, MATCH($F18, Supuestos!$A$4:$A$31, 0), MATCH(B$4, Supuestos!$E$3:$G$3, 0))</x:f>
        <x:v>15000</x:v>
      </x:c>
      <x:c r="C18" s="46">
        <x:f>INDEX(Supuestos!$E$4:$G$31, MATCH($F18, Supuestos!$A$4:$A$31, 0), MATCH(C$4, Supuestos!$E$3:$G$3, 0))</x:f>
        <x:v>35000</x:v>
      </x:c>
      <x:c r="D18" s="46">
        <x:f>INDEX(Supuestos!$E$4:$G$31, MATCH($F18, Supuestos!$A$4:$A$31, 0), MATCH(D$4, Supuestos!$E$3:$G$3, 0))</x:f>
        <x:v>60000</x:v>
      </x:c>
      <x:c r="E18" s="30" t="inlineStr">
        <x:is>
          <x:t xml:space="preserve">€/año</x:t>
        </x:is>
      </x:c>
      <x:c r="F18" s="20" t="inlineStr">
        <x:is>
          <x:t xml:space="preserve">O02</x:t>
        </x:is>
      </x:c>
      <x:c r="G18" s="15" t="str">
        <x:f>IF($F18="","Derivado (fórmula)","Ver Supuestos (ID "&amp;$F18&amp;")")</x:f>
        <x:v>Ver Supuestos (ID O02)</x:v>
      </x:c>
      <x:c r="H18" s="15" t="inlineStr">
        <x:is>
          <x:t xml:space="preserve"/>
        </x:is>
      </x:c>
    </x:row>
    <x:row r="19" ht="18" customHeight="1">
      <x:c r="A19" s="9" t="inlineStr">
        <x:is>
          <x:t xml:space="preserve">OPEX — Operación cibersegura</x:t>
        </x:is>
      </x:c>
      <x:c r="B19" s="46">
        <x:f>INDEX(Supuestos!$E$4:$G$31, MATCH($F19, Supuestos!$A$4:$A$31, 0), MATCH(B$4, Supuestos!$E$3:$G$3, 0))</x:f>
        <x:v>5000</x:v>
      </x:c>
      <x:c r="C19" s="46">
        <x:f>INDEX(Supuestos!$E$4:$G$31, MATCH($F19, Supuestos!$A$4:$A$31, 0), MATCH(C$4, Supuestos!$E$3:$G$3, 0))</x:f>
        <x:v>12000</x:v>
      </x:c>
      <x:c r="D19" s="46">
        <x:f>INDEX(Supuestos!$E$4:$G$31, MATCH($F19, Supuestos!$A$4:$A$31, 0), MATCH(D$4, Supuestos!$E$3:$G$3, 0))</x:f>
        <x:v>20000</x:v>
      </x:c>
      <x:c r="E19" s="30" t="inlineStr">
        <x:is>
          <x:t xml:space="preserve">€/año</x:t>
        </x:is>
      </x:c>
      <x:c r="F19" s="20" t="inlineStr">
        <x:is>
          <x:t xml:space="preserve">O03</x:t>
        </x:is>
      </x:c>
      <x:c r="G19" s="15" t="str">
        <x:f>IF($F19="","Derivado (fórmula)","Ver Supuestos (ID "&amp;$F19&amp;")")</x:f>
        <x:v>Ver Supuestos (ID O03)</x:v>
      </x:c>
      <x:c r="H19" s="15" t="inlineStr">
        <x:is>
          <x:t xml:space="preserve"/>
        </x:is>
      </x:c>
    </x:row>
    <x:row r="20" ht="18" customHeight="1">
      <x:c r="A20" s="9" t="inlineStr">
        <x:is>
          <x:t xml:space="preserve">OPEX — Infraestructura IT</x:t>
        </x:is>
      </x:c>
      <x:c r="B20" s="46">
        <x:f>INDEX(Supuestos!$E$4:$G$31, MATCH($F20, Supuestos!$A$4:$A$31, 0), MATCH(B$4, Supuestos!$E$3:$G$3, 0))</x:f>
        <x:v>3000</x:v>
      </x:c>
      <x:c r="C20" s="46">
        <x:f>INDEX(Supuestos!$E$4:$G$31, MATCH($F20, Supuestos!$A$4:$A$31, 0), MATCH(C$4, Supuestos!$E$3:$G$3, 0))</x:f>
        <x:v>8000</x:v>
      </x:c>
      <x:c r="D20" s="46">
        <x:f>INDEX(Supuestos!$E$4:$G$31, MATCH($F20, Supuestos!$A$4:$A$31, 0), MATCH(D$4, Supuestos!$E$3:$G$3, 0))</x:f>
        <x:v>15000</x:v>
      </x:c>
      <x:c r="E20" s="30" t="inlineStr">
        <x:is>
          <x:t xml:space="preserve">€/año</x:t>
        </x:is>
      </x:c>
      <x:c r="F20" s="20" t="inlineStr">
        <x:is>
          <x:t xml:space="preserve">O04</x:t>
        </x:is>
      </x:c>
      <x:c r="G20" s="15" t="str">
        <x:f>IF($F20="","Derivado (fórmula)","Ver Supuestos (ID "&amp;$F20&amp;")")</x:f>
        <x:v>Ver Supuestos (ID O04)</x:v>
      </x:c>
      <x:c r="H20" s="15" t="inlineStr">
        <x:is>
          <x:t xml:space="preserve"/>
        </x:is>
      </x:c>
    </x:row>
    <x:row r="21" ht="18" customHeight="1">
      <x:c r="A21" s="32" t="inlineStr">
        <x:is>
          <x:t xml:space="preserve">OPEX total anual</x:t>
        </x:is>
      </x:c>
      <x:c r="B21" s="44">
        <x:f>SUM(B17:B20)</x:f>
        <x:v>31000</x:v>
      </x:c>
      <x:c r="C21" s="44">
        <x:f>SUM(C17:C20)</x:f>
        <x:v>70000</x:v>
      </x:c>
      <x:c r="D21" s="44">
        <x:f>SUM(D17:D20)</x:f>
        <x:v>120000</x:v>
      </x:c>
      <x:c r="E21" s="30" t="inlineStr">
        <x:is>
          <x:t xml:space="preserve">€/año</x:t>
        </x:is>
      </x:c>
      <x:c r="F21" s="30" t="inlineStr">
        <x:is>
          <x:t xml:space="preserve"/>
        </x:is>
      </x:c>
      <x:c r="G21" s="15" t="str">
        <x:f>IF($F21="","Derivado (fórmula)","Ver Supuestos (ID "&amp;$F21&amp;")")</x:f>
        <x:v>Derivado (fórmula)</x:v>
      </x:c>
      <x:c r="H21" s="15" t="inlineStr">
        <x:is>
          <x:t xml:space="preserve"/>
        </x:is>
      </x:c>
    </x:row>
  </x:sheetData>
  <x:mergeCells>
    <x:mergeCell ref="A16:H16"/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28" customWidth="1"/>
    <x:col min="3" max="3" width="12" customWidth="1"/>
    <x:col min="4" max="4" width="10" customWidth="1"/>
    <x:col min="5" max="5" width="10" customWidth="1"/>
    <x:col min="6" max="6" width="12" customWidth="1"/>
    <x:col min="7" max="7" width="12" customWidth="1"/>
    <x:col min="8" max="8" width="12" customWidth="1"/>
    <x:col min="9" max="9" width="14" customWidth="1"/>
  </x:cols>
  <x:sheetData>
    <x:row r="1" ht="28" customHeight="1">
      <x:c r="A1" s="1" t="inlineStr">
        <x:is>
          <x:t xml:space="preserve">Sensibilidad (±20% en 5 supuestos clave)</x:t>
        </x:is>
      </x:c>
    </x:row>
    <x:row r="2" ht="28" customHeight="1">
      <x:c r="A2" s="2" t="inlineStr">
        <x:is>
          <x:t xml:space="preserve">Se muestra el impacto en NPV (escenario Base) al variar un supuesto a la vez ±20% (ceteris paribus).</x:t>
        </x:is>
      </x:c>
    </x:row>
    <x:row r="4">
      <x:c r="A4" s="41" t="inlineStr">
        <x:is>
          <x:t xml:space="preserve">Inputs (Base) usados para sensibilidad</x:t>
        </x:is>
      </x:c>
    </x:row>
    <x:row r="5" ht="20" customHeight="1">
      <x:c r="A5" s="6" t="inlineStr">
        <x:is>
          <x:t xml:space="preserve">ID</x:t>
        </x:is>
      </x:c>
      <x:c r="B5" s="6" t="inlineStr">
        <x:is>
          <x:t xml:space="preserve">Parámetro</x:t>
        </x:is>
      </x:c>
      <x:c r="C5" s="6" t="inlineStr">
        <x:is>
          <x:t xml:space="preserve">Valor Base</x:t>
        </x:is>
      </x:c>
      <x:c r="D5" s="6" t="inlineStr">
        <x:is>
          <x:t xml:space="preserve">Unidad</x:t>
        </x:is>
      </x:c>
      <x:c r="E5" s="6" t="inlineStr">
        <x:is>
          <x:t xml:space="preserve">Fuente</x:t>
        </x:is>
      </x:c>
    </x:row>
    <x:row r="6" ht="24" customHeight="1">
      <x:c r="A6" s="20" t="inlineStr">
        <x:is>
          <x:t xml:space="preserve">P01</x:t>
        </x:is>
      </x:c>
      <x:c r="B6" s="9" t="inlineStr">
        <x:is>
          <x:t xml:space="preserve">Producción anual impactada</x:t>
        </x:is>
      </x:c>
      <x:c r="C6" s="18">
        <x:f>INDEX(Supuestos!$E$4:$G$31, MATCH("P01", Supuestos!$A$4:$A$31, 0), MATCH("Base", Supuestos!$E$3:$G$3, 0))</x:f>
        <x:v>150000</x:v>
      </x:c>
      <x:c r="D6" s="30" t="inlineStr">
        <x:is>
          <x:t xml:space="preserve">t/año</x:t>
        </x:is>
      </x:c>
      <x:c r="E6" s="15" t="str">
        <x:f>VLOOKUP(A6,Supuestos!$A$4:$K$31,9,FALSE)</x:f>
        <x:v>Requiere definir unidad y corriente en Puertollano; placeholder editable.</x:v>
      </x:c>
    </x:row>
    <x:row r="7" ht="24" customHeight="1">
      <x:c r="A7" s="20" t="inlineStr">
        <x:is>
          <x:t xml:space="preserve">P02</x:t>
        </x:is>
      </x:c>
      <x:c r="B7" s="9" t="inlineStr">
        <x:is>
          <x:t xml:space="preserve">Margen por tonelada</x:t>
        </x:is>
      </x:c>
      <x:c r="C7" s="46">
        <x:f>INDEX(Supuestos!$E$4:$G$31, MATCH("P02", Supuestos!$A$4:$A$31, 0), MATCH("Base", Supuestos!$E$3:$G$3, 0))</x:f>
        <x:v>50</x:v>
      </x:c>
      <x:c r="D7" s="30" t="inlineStr">
        <x:is>
          <x:t xml:space="preserve">€/t</x:t>
        </x:is>
      </x:c>
      <x:c r="E7" s="15" t="str">
        <x:f>VLOOKUP(A7,Supuestos!$A$4:$K$31,9,FALSE)</x:f>
        <x:v>Depende de slate y mercado; usar contabilidad de gestión.</x:v>
      </x:c>
    </x:row>
    <x:row r="8" ht="24" customHeight="1">
      <x:c r="A8" s="20" t="inlineStr">
        <x:is>
          <x:t xml:space="preserve">P03</x:t>
        </x:is>
      </x:c>
      <x:c r="B8" s="9" t="inlineStr">
        <x:is>
          <x:t xml:space="preserve">Mejora throughput/rendimiento</x:t>
        </x:is>
      </x:c>
      <x:c r="C8" s="48">
        <x:f>INDEX(Supuestos!$E$4:$G$31, MATCH("P03", Supuestos!$A$4:$A$31, 0), MATCH("Base", Supuestos!$E$3:$G$3, 0))</x:f>
        <x:v>3</x:v>
      </x:c>
      <x:c r="D8" s="30" t="inlineStr">
        <x:is>
          <x:t xml:space="preserve">%</x:t>
        </x:is>
      </x:c>
      <x:c r="E8" s="15" t="str">
        <x:f>VLOOKUP(A8,Supuestos!$A$4:$K$31,9,FALSE)</x:f>
        <x:v>Doc ACQC_Optimizacion.pdf (2026): mejora esperada de throughput/rendimiento ~3% (resultados esperados; validar).</x:v>
      </x:c>
    </x:row>
    <x:row r="9" ht="24" customHeight="1">
      <x:c r="A9" s="20" t="inlineStr">
        <x:is>
          <x:t xml:space="preserve">E01</x:t>
        </x:is>
      </x:c>
      <x:c r="B9" s="9" t="inlineStr">
        <x:is>
          <x:t xml:space="preserve">Consumo específico</x:t>
        </x:is>
      </x:c>
      <x:c r="C9" s="29">
        <x:f>INDEX(Supuestos!$E$4:$G$31, MATCH("E01", Supuestos!$A$4:$A$31, 0), MATCH("Base", Supuestos!$E$3:$G$3, 0))</x:f>
        <x:v>2</x:v>
      </x:c>
      <x:c r="D9" s="30" t="inlineStr">
        <x:is>
          <x:t xml:space="preserve">GJ/t</x:t>
        </x:is>
      </x:c>
      <x:c r="E9" s="15" t="str">
        <x:f>VLOOKUP(A9,Supuestos!$A$4:$K$31,9,FALSE)</x:f>
        <x:v>Depende de la unidad (hidrotratamiento/blending/etc.); estimación inicial editable.</x:v>
      </x:c>
    </x:row>
    <x:row r="10" ht="24" customHeight="1">
      <x:c r="A10" s="20" t="inlineStr">
        <x:is>
          <x:t xml:space="preserve">E02</x:t>
        </x:is>
      </x:c>
      <x:c r="B10" s="9" t="inlineStr">
        <x:is>
          <x:t xml:space="preserve">Precio energía</x:t>
        </x:is>
      </x:c>
      <x:c r="C10" s="46">
        <x:f>INDEX(Supuestos!$E$4:$G$31, MATCH("E02", Supuestos!$A$4:$A$31, 0), MATCH("Base", Supuestos!$E$3:$G$3, 0))</x:f>
        <x:v>8</x:v>
      </x:c>
      <x:c r="D10" s="30" t="inlineStr">
        <x:is>
          <x:t xml:space="preserve">€/GJ</x:t>
        </x:is>
      </x:c>
      <x:c r="E10" s="15" t="str">
        <x:f>VLOOKUP(A10,Supuestos!$A$4:$K$31,9,FALSE)</x:f>
        <x:v>Depende de mix energético interno (fuel/vapor/electricidad); fijar con Finanzas/Energía.</x:v>
      </x:c>
    </x:row>
    <x:row r="11" ht="24" customHeight="1">
      <x:c r="A11" s="20" t="inlineStr">
        <x:is>
          <x:t xml:space="preserve">E03</x:t>
        </x:is>
      </x:c>
      <x:c r="B11" s="9" t="inlineStr">
        <x:is>
          <x:t xml:space="preserve">% ahorro energía</x:t>
        </x:is>
      </x:c>
      <x:c r="C11" s="48">
        <x:f>INDEX(Supuestos!$E$4:$G$31, MATCH("E03", Supuestos!$A$4:$A$31, 0), MATCH("Base", Supuestos!$E$3:$G$3, 0))</x:f>
        <x:v>5</x:v>
      </x:c>
      <x:c r="D11" s="30" t="inlineStr">
        <x:is>
          <x:t xml:space="preserve">%</x:t>
        </x:is>
      </x:c>
      <x:c r="E11" s="15" t="str">
        <x:f>VLOOKUP(A11,Supuestos!$A$4:$K$31,9,FALSE)</x:f>
        <x:v>Doc ACQC_Optimizacion.pdf (2026): ahorro energético esperado ~5% (resultados esperados; validar).</x:v>
      </x:c>
    </x:row>
    <x:row r="12" ht="24" customHeight="1">
      <x:c r="A12" s="20" t="inlineStr">
        <x:is>
          <x:t xml:space="preserve">A01</x:t>
        </x:is>
      </x:c>
      <x:c r="B12" s="9" t="inlineStr">
        <x:is>
          <x:t xml:space="preserve">Adopción efectiva</x:t>
        </x:is>
      </x:c>
      <x:c r="C12" s="48">
        <x:f>INDEX(Supuestos!$E$4:$G$31, MATCH("A01", Supuestos!$A$4:$A$31, 0), MATCH("Base", Supuestos!$E$3:$G$3, 0))</x:f>
        <x:v>60</x:v>
      </x:c>
      <x:c r="D12" s="30" t="inlineStr">
        <x:is>
          <x:t xml:space="preserve">%</x:t>
        </x:is>
      </x:c>
      <x:c r="E12" s="15" t="str">
        <x:f>VLOOKUP(A12,Supuestos!$A$4:$K$31,9,FALSE)</x:f>
        <x:v>Modo asesor con operador en el bucle; adopción parcial es realista.</x:v>
      </x:c>
    </x:row>
    <x:row r="13" ht="24" customHeight="1">
      <x:c r="A13" s="20" t="inlineStr">
        <x:is>
          <x:t xml:space="preserve">K00</x:t>
        </x:is>
      </x:c>
      <x:c r="B13" s="9" t="inlineStr">
        <x:is>
          <x:t xml:space="preserve">Horas por año</x:t>
        </x:is>
      </x:c>
      <x:c r="C13" s="18">
        <x:f>INDEX(Supuestos!$E$4:$G$31, MATCH("K00", Supuestos!$A$4:$A$31, 0), MATCH("Base", Supuestos!$E$3:$G$3, 0))</x:f>
        <x:v>8760</x:v>
      </x:c>
      <x:c r="D13" s="30" t="inlineStr">
        <x:is>
          <x:t xml:space="preserve">h/año</x:t>
        </x:is>
      </x:c>
      <x:c r="E13" s="15" t="str">
        <x:f>VLOOKUP(A13,Supuestos!$A$4:$K$31,9,FALSE)</x:f>
        <x:v>Constante de calendario (sin año específico).</x:v>
      </x:c>
    </x:row>
    <x:row r="14" ht="24" customHeight="1">
      <x:c r="A14" s="20" t="inlineStr">
        <x:is>
          <x:t xml:space="preserve">A02</x:t>
        </x:is>
      </x:c>
      <x:c r="B14" s="9" t="inlineStr">
        <x:is>
          <x:t xml:space="preserve">Downtime anual baseline</x:t>
        </x:is>
      </x:c>
      <x:c r="C14" s="18">
        <x:f>INDEX(Supuestos!$E$4:$G$31, MATCH("A02", Supuestos!$A$4:$A$31, 0), MATCH("Base", Supuestos!$E$3:$G$3, 0))</x:f>
        <x:v>40</x:v>
      </x:c>
      <x:c r="D14" s="30" t="inlineStr">
        <x:is>
          <x:t xml:space="preserve">h/año</x:t>
        </x:is>
      </x:c>
      <x:c r="E14" s="15" t="str">
        <x:f>VLOOKUP(A14,Supuestos!$A$4:$K$31,9,FALSE)</x:f>
        <x:v>Depende de histórico local; establecer con OT/Operación.</x:v>
      </x:c>
    </x:row>
    <x:row r="15" ht="24" customHeight="1">
      <x:c r="A15" s="20" t="inlineStr">
        <x:is>
          <x:t xml:space="preserve">A03</x:t>
        </x:is>
      </x:c>
      <x:c r="B15" s="9" t="inlineStr">
        <x:is>
          <x:t xml:space="preserve">Reducción downtime</x:t>
        </x:is>
      </x:c>
      <x:c r="C15" s="48">
        <x:f>INDEX(Supuestos!$E$4:$G$31, MATCH("A03", Supuestos!$A$4:$A$31, 0), MATCH("Base", Supuestos!$E$3:$G$3, 0))</x:f>
        <x:v>25</x:v>
      </x:c>
      <x:c r="D15" s="30" t="inlineStr">
        <x:is>
          <x:t xml:space="preserve">%</x:t>
        </x:is>
      </x:c>
      <x:c r="E15" s="15" t="str">
        <x:f>VLOOKUP(A15,Supuestos!$A$4:$K$31,9,FALSE)</x:f>
        <x:v>Se incluyen flujos degradados (fallback) y observabilidad; cuantificar con incidentes reales.</x:v>
      </x:c>
    </x:row>
    <x:row r="16" ht="24" customHeight="1">
      <x:c r="A16" s="20" t="inlineStr">
        <x:is>
          <x:t xml:space="preserve">Q01</x:t>
        </x:is>
      </x:c>
      <x:c r="B16" s="9" t="inlineStr">
        <x:is>
          <x:t xml:space="preserve">Tasa scrap/rework base</x:t>
        </x:is>
      </x:c>
      <x:c r="C16" s="48">
        <x:f>INDEX(Supuestos!$E$4:$G$31, MATCH("Q01", Supuestos!$A$4:$A$31, 0), MATCH("Base", Supuestos!$E$3:$G$3, 0))</x:f>
        <x:v>1</x:v>
      </x:c>
      <x:c r="D16" s="30" t="inlineStr">
        <x:is>
          <x:t xml:space="preserve">%</x:t>
        </x:is>
      </x:c>
      <x:c r="E16" s="15" t="str">
        <x:f>VLOOKUP(A16,Supuestos!$A$4:$K$31,9,FALSE)</x:f>
        <x:v>Depende de histórico de lotes fuera de especificación; definir con QA.</x:v>
      </x:c>
    </x:row>
    <x:row r="17" ht="24" customHeight="1">
      <x:c r="A17" s="20" t="inlineStr">
        <x:is>
          <x:t xml:space="preserve">Q02</x:t>
        </x:is>
      </x:c>
      <x:c r="B17" s="9" t="inlineStr">
        <x:is>
          <x:t xml:space="preserve">Coste scrap/rework</x:t>
        </x:is>
      </x:c>
      <x:c r="C17" s="46">
        <x:f>INDEX(Supuestos!$E$4:$G$31, MATCH("Q02", Supuestos!$A$4:$A$31, 0), MATCH("Base", Supuestos!$E$3:$G$3, 0))</x:f>
        <x:v>150</x:v>
      </x:c>
      <x:c r="D17" s="30" t="inlineStr">
        <x:is>
          <x:t xml:space="preserve">€/t</x:t>
        </x:is>
      </x:c>
      <x:c r="E17" s="15" t="str">
        <x:f>VLOOKUP(A17,Supuestos!$A$4:$K$31,9,FALSE)</x:f>
        <x:v>Incluye reproceso, pérdida de margen y logística; cuantificar con contabilidad.</x:v>
      </x:c>
    </x:row>
    <x:row r="18" ht="24" customHeight="1">
      <x:c r="A18" s="20" t="inlineStr">
        <x:is>
          <x:t xml:space="preserve">Q03</x:t>
        </x:is>
      </x:c>
      <x:c r="B18" s="9" t="inlineStr">
        <x:is>
          <x:t xml:space="preserve">Reducción scrap/rework</x:t>
        </x:is>
      </x:c>
      <x:c r="C18" s="48">
        <x:f>INDEX(Supuestos!$E$4:$G$31, MATCH("Q03", Supuestos!$A$4:$A$31, 0), MATCH("Base", Supuestos!$E$3:$G$3, 0))</x:f>
        <x:v>30</x:v>
      </x:c>
      <x:c r="D18" s="30" t="inlineStr">
        <x:is>
          <x:t xml:space="preserve">%</x:t>
        </x:is>
      </x:c>
      <x:c r="E18" s="15" t="str">
        <x:f>VLOOKUP(A18,Supuestos!$A$4:$K$31,9,FALSE)</x:f>
        <x:v>Mejoras por detección temprana (soft sensors + PAT) antes del laboratorio; validar en piloto.</x:v>
      </x:c>
    </x:row>
    <x:row r="19" ht="24" customHeight="1">
      <x:c r="A19" s="20" t="inlineStr">
        <x:is>
          <x:t xml:space="preserve">K03</x:t>
        </x:is>
      </x:c>
      <x:c r="B19" s="9" t="inlineStr">
        <x:is>
          <x:t xml:space="preserve">Vida económica</x:t>
        </x:is>
      </x:c>
      <x:c r="C19" s="18">
        <x:f>INDEX(Supuestos!$E$4:$G$31, MATCH("K03", Supuestos!$A$4:$A$31, 0), MATCH("Base", Supuestos!$E$3:$G$3, 0))</x:f>
        <x:v>5</x:v>
      </x:c>
      <x:c r="D19" s="30" t="inlineStr">
        <x:is>
          <x:t xml:space="preserve">años</x:t>
        </x:is>
      </x:c>
      <x:c r="E19" s="15" t="str">
        <x:f>VLOOKUP(A19,Supuestos!$A$4:$K$31,9,FALSE)</x:f>
        <x:v>Supuesto estándar para pilotos industriales; ajustar a política financiera.</x:v>
      </x:c>
    </x:row>
    <x:row r="20" ht="24" customHeight="1">
      <x:c r="A20" s="20" t="inlineStr">
        <x:is>
          <x:t xml:space="preserve">K04</x:t>
        </x:is>
      </x:c>
      <x:c r="B20" s="9" t="inlineStr">
        <x:is>
          <x:t xml:space="preserve">Tasa de descuento</x:t>
        </x:is>
      </x:c>
      <x:c r="C20" s="48">
        <x:f>INDEX(Supuestos!$E$4:$G$31, MATCH("K04", Supuestos!$A$4:$A$31, 0), MATCH("Base", Supuestos!$E$3:$G$3, 0))</x:f>
        <x:v>8</x:v>
      </x:c>
      <x:c r="D20" s="30" t="inlineStr">
        <x:is>
          <x:t xml:space="preserve">%</x:t>
        </x:is>
      </x:c>
      <x:c r="E20" s="15" t="str">
        <x:f>VLOOKUP(A20,Supuestos!$A$4:$K$31,9,FALSE)</x:f>
        <x:v>Supuesto inicial; reemplazar por tasa corporativa.</x:v>
      </x:c>
    </x:row>
    <x:row r="21" ht="24" customHeight="1">
      <x:c r="A21" s="20" t="inlineStr">
        <x:is>
          <x:t xml:space="preserve">K01</x:t>
        </x:is>
      </x:c>
      <x:c r="B21" s="9" t="inlineStr">
        <x:is>
          <x:t xml:space="preserve">Factor bajo</x:t>
        </x:is>
      </x:c>
      <x:c r="C21" s="48">
        <x:f>INDEX(Supuestos!$E$4:$G$31, MATCH("K01", Supuestos!$A$4:$A$31, 0), MATCH("Base", Supuestos!$E$3:$G$3, 0))</x:f>
        <x:v>0.8</x:v>
      </x:c>
      <x:c r="D21" s="30" t="inlineStr">
        <x:is>
          <x:t xml:space="preserve">x</x:t>
        </x:is>
      </x:c>
      <x:c r="E21" s="15" t="str">
        <x:f>VLOOKUP(A21,Supuestos!$A$4:$K$31,9,FALSE)</x:f>
        <x:v>Definición interna: ±20% (bajo).</x:v>
      </x:c>
    </x:row>
    <x:row r="22" ht="24" customHeight="1">
      <x:c r="A22" s="20" t="inlineStr">
        <x:is>
          <x:t xml:space="preserve">K02</x:t>
        </x:is>
      </x:c>
      <x:c r="B22" s="9" t="inlineStr">
        <x:is>
          <x:t xml:space="preserve">Factor alto</x:t>
        </x:is>
      </x:c>
      <x:c r="C22" s="48">
        <x:f>INDEX(Supuestos!$E$4:$G$31, MATCH("K02", Supuestos!$A$4:$A$31, 0), MATCH("Base", Supuestos!$E$3:$G$3, 0))</x:f>
        <x:v>1.2</x:v>
      </x:c>
      <x:c r="D22" s="30" t="inlineStr">
        <x:is>
          <x:t xml:space="preserve">x</x:t>
        </x:is>
      </x:c>
      <x:c r="E22" s="15" t="str">
        <x:f>VLOOKUP(A22,Supuestos!$A$4:$K$31,9,FALSE)</x:f>
        <x:v>Definición interna: ±20% (alto).</x:v>
      </x:c>
    </x:row>
    <x:row r="24" ht="20" customHeight="1">
      <x:c r="A24" s="41" t="inlineStr">
        <x:is>
          <x:t xml:space="preserve">Costes Base usados en sensibilidad</x:t>
        </x:is>
      </x:c>
    </x:row>
    <x:row r="25">
      <x:c r="A25" s="6" t="inlineStr">
        <x:is>
          <x:t xml:space="preserve">Elemento</x:t>
        </x:is>
      </x:c>
      <x:c r="B25" s="6" t="inlineStr">
        <x:is>
          <x:t xml:space="preserve">Valor Base</x:t>
        </x:is>
      </x:c>
      <x:c r="C25" s="6" t="inlineStr">
        <x:is>
          <x:t xml:space="preserve">Unidad</x:t>
        </x:is>
      </x:c>
      <x:c r="D25" s="6" t="inlineStr">
        <x:is>
          <x:t xml:space="preserve">Referencia</x:t>
        </x:is>
      </x:c>
    </x:row>
    <x:row r="26" ht="20" customHeight="1">
      <x:c r="A26" s="42" t="inlineStr">
        <x:is>
          <x:t xml:space="preserve">CAPEX total</x:t>
        </x:is>
      </x:c>
      <x:c r="B26" s="53">
        <x:f>Costes!C13</x:f>
        <x:v>439300</x:v>
      </x:c>
      <x:c r="C26" s="30" t="inlineStr">
        <x:is>
          <x:t xml:space="preserve">€</x:t>
        </x:is>
      </x:c>
      <x:c r="D26" s="15" t="inlineStr">
        <x:is>
          <x:t xml:space="preserve">Costes!CAPEX total (Base)</x:t>
        </x:is>
      </x:c>
    </x:row>
    <x:row r="27" ht="20" customHeight="1">
      <x:c r="A27" s="42" t="inlineStr">
        <x:is>
          <x:t xml:space="preserve">OPEX total anual</x:t>
        </x:is>
      </x:c>
      <x:c r="B27" s="53">
        <x:f>Costes!C21</x:f>
        <x:v>70000</x:v>
      </x:c>
      <x:c r="C27" s="30" t="inlineStr">
        <x:is>
          <x:t xml:space="preserve">€/año</x:t>
        </x:is>
      </x:c>
      <x:c r="D27" s="15" t="inlineStr">
        <x:is>
          <x:t xml:space="preserve">Costes!OPEX total anual (Base)</x:t>
        </x:is>
      </x:c>
    </x:row>
    <x:row r="28" ht="20" customHeight="1">
      <x:c r="A28" s="42" t="inlineStr">
        <x:is>
          <x:t xml:space="preserve">NPV Base</x:t>
        </x:is>
      </x:c>
      <x:c r="B28" s="53">
        <x:f>Resumen!C30</x:f>
        <x:v>411393.3638588225</x:v>
      </x:c>
      <x:c r="C28" s="30" t="inlineStr">
        <x:is>
          <x:t xml:space="preserve">€</x:t>
        </x:is>
      </x:c>
      <x:c r="D28" s="15" t="inlineStr">
        <x:is>
          <x:t xml:space="preserve">Resumen!NPV (Base)</x:t>
        </x:is>
      </x:c>
    </x:row>
    <x:row r="30" ht="20" customHeight="1">
      <x:c r="A30" s="13" t="inlineStr">
        <x:is>
          <x:t xml:space="preserve">Tabla de sensibilidad (NPV)</x:t>
        </x:is>
      </x:c>
    </x:row>
    <x:row r="31" ht="20" customHeight="1">
      <x:c r="A31" s="6" t="inlineStr">
        <x:is>
          <x:t xml:space="preserve">Supuesto</x:t>
        </x:is>
      </x:c>
      <x:c r="B31" s="6" t="inlineStr">
        <x:is>
          <x:t xml:space="preserve">ID</x:t>
        </x:is>
      </x:c>
      <x:c r="C31" s="6" t="inlineStr">
        <x:is>
          <x:t xml:space="preserve">Base</x:t>
        </x:is>
      </x:c>
      <x:c r="D31" s="6" t="inlineStr">
        <x:is>
          <x:t xml:space="preserve">Bajo (-20%)</x:t>
        </x:is>
      </x:c>
      <x:c r="E31" s="6" t="inlineStr">
        <x:is>
          <x:t xml:space="preserve">Alto (+20%)</x:t>
        </x:is>
      </x:c>
      <x:c r="F31" s="6" t="inlineStr">
        <x:is>
          <x:t xml:space="preserve">NPV Base</x:t>
        </x:is>
      </x:c>
      <x:c r="G31" s="6" t="inlineStr">
        <x:is>
          <x:t xml:space="preserve">NPV Bajo</x:t>
        </x:is>
      </x:c>
      <x:c r="H31" s="6" t="inlineStr">
        <x:is>
          <x:t xml:space="preserve">NPV Alto</x:t>
        </x:is>
      </x:c>
      <x:c r="I31" s="6" t="inlineStr">
        <x:is>
          <x:t xml:space="preserve">ΔNPV (alto-bajo)</x:t>
        </x:is>
      </x:c>
    </x:row>
    <x:row r="32" ht="18" customHeight="1">
      <x:c r="A32" s="9" t="inlineStr">
        <x:is>
          <x:t xml:space="preserve">Producción anual impactada</x:t>
        </x:is>
      </x:c>
      <x:c r="B32" s="20" t="inlineStr">
        <x:is>
          <x:t xml:space="preserve">P01</x:t>
        </x:is>
      </x:c>
      <x:c r="C32" s="18">
        <x:f>$C$6</x:f>
        <x:v>150000</x:v>
      </x:c>
      <x:c r="D32" s="43">
        <x:f>($C$6*$C$21)</x:f>
        <x:v>120000</x:v>
      </x:c>
      <x:c r="E32" s="43">
        <x:f>($C$6*$C$22)</x:f>
        <x:v>180000</x:v>
      </x:c>
      <x:c r="F32" s="46">
        <x:f>$B$28</x:f>
        <x:v>411393.3638588225</x:v>
      </x:c>
      <x:c r="G32" s="44">
        <x:f>=-($B$26)+IF($C$20=0,((((($C$6*$C$21)*$C$9*$C$10*$C$11/100*$C$12/100)+(($C$6*$C$21)*$C$16/100*$C$17*$C$18/100)+((($C$6*$C$21)/$C$13*$C$14)*$C$7*$C$15/100)+(($C$6*$C$21)*$C$8/100*$C$7*$C$12/100))-$B$27))*$C$19,((((($C$6*$C$21)*$C$9*$C$10*$C$11/100*$C$12/100)+(($C$6*$C$21)*$C$16/100*$C$17*$C$18/100)+((($C$6*$C$21)/$C$13*$C$14)*$C$7*$C$15/100)+(($C$6*$C$21)*$C$8/100*$C$7*$C$12/100))-$B$27))*(1-(1+$C$20/100)^(-$C$19))/($C$20/100))</x:f>
        <x:v>185356.75056796474</x:v>
      </x:c>
      <x:c r="H32" s="44">
        <x:f>=-($B$26)+IF($C$20=0,((((($C$6*$C$22)*$C$9*$C$10*$C$11/100*$C$12/100)+(($C$6*$C$22)*$C$16/100*$C$17*$C$18/100)+((($C$6*$C$22)/$C$13*$C$14)*$C$7*$C$15/100)+(($C$6*$C$22)*$C$8/100*$C$7*$C$12/100))-$B$27))*$C$19,((((($C$6*$C$22)*$C$9*$C$10*$C$11/100*$C$12/100)+(($C$6*$C$22)*$C$16/100*$C$17*$C$18/100)+((($C$6*$C$22)/$C$13*$C$14)*$C$7*$C$15/100)+(($C$6*$C$22)*$C$8/100*$C$7*$C$12/100))-$B$27))*(1-(1+$C$20/100)^(-$C$19))/($C$20/100))</x:f>
        <x:v>637429.9771496803</x:v>
      </x:c>
      <x:c r="I32" s="44">
        <x:f>H32-G32</x:f>
        <x:v>452073.2265817155</x:v>
      </x:c>
    </x:row>
    <x:row r="33" ht="18" customHeight="1">
      <x:c r="A33" s="9" t="inlineStr">
        <x:is>
          <x:t xml:space="preserve">Precio energía promedio</x:t>
        </x:is>
      </x:c>
      <x:c r="B33" s="20" t="inlineStr">
        <x:is>
          <x:t xml:space="preserve">E02</x:t>
        </x:is>
      </x:c>
      <x:c r="C33" s="46">
        <x:f>$C$10</x:f>
        <x:v>8</x:v>
      </x:c>
      <x:c r="D33" s="51">
        <x:f>($C$10*$C$21)</x:f>
        <x:v>6.4</x:v>
      </x:c>
      <x:c r="E33" s="51">
        <x:f>($C$10*$C$22)</x:f>
        <x:v>9.6</x:v>
      </x:c>
      <x:c r="F33" s="46">
        <x:f>$B$28</x:f>
        <x:v>411393.3638588225</x:v>
      </x:c>
      <x:c r="G33" s="44">
        <x:f>=-($B$26)+IF($C$20=0,(((($C$6*$C$9*($C$10*$C$21)*$C$11/100*$C$12/100)+($C$6*$C$16/100*$C$17*$C$18/100)+(($C$6/$C$13*$C$14)*$C$7*$C$15/100)+($C$6*$C$8/100*$C$7*$C$12/100))-$B$27))*$C$19,(((($C$6*$C$9*($C$10*$C$21)*$C$11/100*$C$12/100)+($C$6*$C$16/100*$C$17*$C$18/100)+(($C$6/$C$13*$C$14)*$C$7*$C$15/100)+($C$6*$C$8/100*$C$7*$C$12/100))-$B$27))*(1-(1+$C$20/100)^(-$C$19))/($C$20/100))</x:f>
        <x:v>353898.33932489797</x:v>
      </x:c>
      <x:c r="H33" s="44">
        <x:f>=-($B$26)+IF($C$20=0,(((($C$6*$C$9*($C$10*$C$22)*$C$11/100*$C$12/100)+($C$6*$C$16/100*$C$17*$C$18/100)+(($C$6/$C$13*$C$14)*$C$7*$C$15/100)+($C$6*$C$8/100*$C$7*$C$12/100))-$B$27))*$C$19,(((($C$6*$C$9*($C$10*$C$22)*$C$11/100*$C$12/100)+($C$6*$C$16/100*$C$17*$C$18/100)+(($C$6/$C$13*$C$14)*$C$7*$C$15/100)+($C$6*$C$8/100*$C$7*$C$12/100))-$B$27))*(1-(1+$C$20/100)^(-$C$19))/($C$20/100))</x:f>
        <x:v>468888.3883927469</x:v>
      </x:c>
      <x:c r="I33" s="44">
        <x:f>H33-G33</x:f>
        <x:v>114990.04906784894</x:v>
      </x:c>
    </x:row>
    <x:row r="34" ht="18" customHeight="1">
      <x:c r="A34" s="9" t="inlineStr">
        <x:is>
          <x:t xml:space="preserve">% ahorro energía por optimización</x:t>
        </x:is>
      </x:c>
      <x:c r="B34" s="20" t="inlineStr">
        <x:is>
          <x:t xml:space="preserve">E03</x:t>
        </x:is>
      </x:c>
      <x:c r="C34" s="48">
        <x:f>$C$11</x:f>
        <x:v>5</x:v>
      </x:c>
      <x:c r="D34" s="47">
        <x:f>($C$11*$C$21)</x:f>
        <x:v>4</x:v>
      </x:c>
      <x:c r="E34" s="47">
        <x:f>($C$11*$C$22)</x:f>
        <x:v>6</x:v>
      </x:c>
      <x:c r="F34" s="46">
        <x:f>$B$28</x:f>
        <x:v>411393.3638588225</x:v>
      </x:c>
      <x:c r="G34" s="44">
        <x:f>=-($B$26)+IF($C$20=0,(((($C$6*$C$9*$C$10*($C$11*$C$21)/100*$C$12/100)+($C$6*$C$16/100*$C$17*$C$18/100)+(($C$6/$C$13*$C$14)*$C$7*$C$15/100)+($C$6*$C$8/100*$C$7*$C$12/100))-$B$27))*$C$19,(((($C$6*$C$9*$C$10*($C$11*$C$21)/100*$C$12/100)+($C$6*$C$16/100*$C$17*$C$18/100)+(($C$6/$C$13*$C$14)*$C$7*$C$15/100)+($C$6*$C$8/100*$C$7*$C$12/100))-$B$27))*(1-(1+$C$20/100)^(-$C$19))/($C$20/100))</x:f>
        <x:v>353898.33932489797</x:v>
      </x:c>
      <x:c r="H34" s="44">
        <x:f>=-($B$26)+IF($C$20=0,(((($C$6*$C$9*$C$10*($C$11*$C$22)/100*$C$12/100)+($C$6*$C$16/100*$C$17*$C$18/100)+(($C$6/$C$13*$C$14)*$C$7*$C$15/100)+($C$6*$C$8/100*$C$7*$C$12/100))-$B$27))*$C$19,(((($C$6*$C$9*$C$10*($C$11*$C$22)/100*$C$12/100)+($C$6*$C$16/100*$C$17*$C$18/100)+(($C$6/$C$13*$C$14)*$C$7*$C$15/100)+($C$6*$C$8/100*$C$7*$C$12/100))-$B$27))*(1-(1+$C$20/100)^(-$C$19))/($C$20/100))</x:f>
        <x:v>468888.3883927469</x:v>
      </x:c>
      <x:c r="I34" s="44">
        <x:f>H34-G34</x:f>
        <x:v>114990.04906784894</x:v>
      </x:c>
    </x:row>
    <x:row r="35" ht="18" customHeight="1">
      <x:c r="A35" s="9" t="inlineStr">
        <x:is>
          <x:t xml:space="preserve">Reducción scrap/rework por ACQC</x:t>
        </x:is>
      </x:c>
      <x:c r="B35" s="20" t="inlineStr">
        <x:is>
          <x:t xml:space="preserve">Q03</x:t>
        </x:is>
      </x:c>
      <x:c r="C35" s="48">
        <x:f>$C$18</x:f>
        <x:v>30</x:v>
      </x:c>
      <x:c r="D35" s="47">
        <x:f>($C$18*$C$21)</x:f>
        <x:v>24</x:v>
      </x:c>
      <x:c r="E35" s="47">
        <x:f>($C$18*$C$22)</x:f>
        <x:v>36</x:v>
      </x:c>
      <x:c r="F35" s="46">
        <x:f>$B$28</x:f>
        <x:v>411393.3638588225</x:v>
      </x:c>
      <x:c r="G35" s="44">
        <x:f>=-($B$26)+IF($C$20=0,(((($C$6*$C$9*$C$10*$C$11/100*$C$12/100)+($C$6*$C$16/100*$C$17*($C$18*$C$21)/100)+(($C$6/$C$13*$C$14)*$C$7*$C$15/100)+($C$6*$C$8/100*$C$7*$C$12/100))-$B$27))*$C$19,(((($C$6*$C$9*$C$10*$C$11/100*$C$12/100)+($C$6*$C$16/100*$C$17*($C$18*$C$21)/100)+(($C$6/$C$13*$C$14)*$C$7*$C$15/100)+($C$6*$C$8/100*$C$7*$C$12/100))-$B$27))*(1-(1+$C$20/100)^(-$C$19))/($C$20/100))</x:f>
        <x:v>357491.7783582683</x:v>
      </x:c>
      <x:c r="H35" s="44">
        <x:f>=-($B$26)+IF($C$20=0,(((($C$6*$C$9*$C$10*$C$11/100*$C$12/100)+($C$6*$C$16/100*$C$17*($C$18*$C$22)/100)+(($C$6/$C$13*$C$14)*$C$7*$C$15/100)+($C$6*$C$8/100*$C$7*$C$12/100))-$B$27))*$C$19,(((($C$6*$C$9*$C$10*$C$11/100*$C$12/100)+($C$6*$C$16/100*$C$17*($C$18*$C$22)/100)+(($C$6/$C$13*$C$14)*$C$7*$C$15/100)+($C$6*$C$8/100*$C$7*$C$12/100))-$B$27))*(1-(1+$C$20/100)^(-$C$19))/($C$20/100))</x:f>
        <x:v>465294.9493593767</x:v>
      </x:c>
      <x:c r="I35" s="44">
        <x:f>H35-G35</x:f>
        <x:v>107803.17100110836</x:v>
      </x:c>
    </x:row>
    <x:row r="36" ht="18" customHeight="1">
      <x:c r="A36" s="9" t="inlineStr">
        <x:is>
          <x:t xml:space="preserve">CAPEX total</x:t>
        </x:is>
      </x:c>
      <x:c r="B36" s="20" t="inlineStr">
        <x:is>
          <x:t xml:space="preserve">CAPEX</x:t>
        </x:is>
      </x:c>
      <x:c r="C36" s="53">
        <x:f>$B$26</x:f>
        <x:v>439300</x:v>
      </x:c>
      <x:c r="D36" s="53">
        <x:f>($B$26*$C$21)</x:f>
        <x:v>351440</x:v>
      </x:c>
      <x:c r="E36" s="53">
        <x:f>($B$26*$C$22)</x:f>
        <x:v>527160</x:v>
      </x:c>
      <x:c r="F36" s="46">
        <x:f>$B$28</x:f>
        <x:v>411393.3638588225</x:v>
      </x:c>
      <x:c r="G36" s="44">
        <x:f>=-(($B$26*$C$21))+IF($C$20=0,(((($C$6*$C$9*$C$10*$C$11/100*$C$12/100)+($C$6*$C$16/100*$C$17*$C$18/100)+(($C$6/$C$13*$C$14)*$C$7*$C$15/100)+($C$6*$C$8/100*$C$7*$C$12/100))-$B$27))*$C$19,(((($C$6*$C$9*$C$10*$C$11/100*$C$12/100)+($C$6*$C$16/100*$C$17*$C$18/100)+(($C$6/$C$13*$C$14)*$C$7*$C$15/100)+($C$6*$C$8/100*$C$7*$C$12/100))-$B$27))*(1-(1+$C$20/100)^(-$C$19))/($C$20/100))</x:f>
        <x:v>499253.3638588225</x:v>
      </x:c>
      <x:c r="H36" s="44">
        <x:f>=-(($B$26*$C$22))+IF($C$20=0,(((($C$6*$C$9*$C$10*$C$11/100*$C$12/100)+($C$6*$C$16/100*$C$17*$C$18/100)+(($C$6/$C$13*$C$14)*$C$7*$C$15/100)+($C$6*$C$8/100*$C$7*$C$12/100))-$B$27))*$C$19,(((($C$6*$C$9*$C$10*$C$11/100*$C$12/100)+($C$6*$C$16/100*$C$17*$C$18/100)+(($C$6/$C$13*$C$14)*$C$7*$C$15/100)+($C$6*$C$8/100*$C$7*$C$12/100))-$B$27))*(1-(1+$C$20/100)^(-$C$19))/($C$20/100))</x:f>
        <x:v>323533.3638588225</x:v>
      </x:c>
      <x:c r="I36" s="44">
        <x:f>H36-G36</x:f>
        <x:v>-175720</x:v>
      </x:c>
    </x:row>
  </x:sheetData>
  <x:mergeCells>
    <x:mergeCell ref="A2:I2"/>
    <x:mergeCell ref="A1:I1"/>
    <x:mergeCell ref="A4:I4"/>
    <x:mergeCell ref="A24:I24"/>
    <x:mergeCell ref="A30:I30"/>
  </x:mergeCells>
  <x:pageMargins left="0.7" right="0.7" top="0.75" bottom="0.75" header="0.3" footer="0.3"/>
  <x:drawing xmlns:r="http://schemas.openxmlformats.org/officeDocument/2006/relationships" r:id="Re9f428d4cc3741fc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36" customWidth="1"/>
    <x:col min="3" max="3" width="9" customWidth="1"/>
    <x:col min="4" max="4" width="20" customWidth="1"/>
    <x:col min="5" max="5" width="22" customWidth="1"/>
    <x:col min="6" max="6" width="46" customWidth="1"/>
    <x:col min="7" max="7" width="18" customWidth="1"/>
    <x:col min="8" max="8" width="12" customWidth="1"/>
    <x:col min="9" max="9" width="28" customWidth="1"/>
  </x:cols>
  <x:sheetData>
    <x:row r="1" ht="28" customHeight="1">
      <x:c r="A1" s="1" t="inlineStr">
        <x:is>
          <x:t xml:space="preserve">Trazabilidad de supuestos (fuentes y pendientes)</x:t>
        </x:is>
      </x:c>
    </x:row>
    <x:row r="2" ht="34" customHeight="1">
      <x:c r="A2" s="2" t="inlineStr">
        <x:is>
          <x:t xml:space="preserve">Cada supuesto/entrada numérica debe trazar a: documento ACQC, entrevista, histórico o cotización. Completar columnas 'Sección' y 'Evidencia' durante el piloto.</x:t>
        </x:is>
      </x:c>
    </x:row>
    <x:row r="3" ht="22" customHeight="1">
      <x:c r="A3" s="6" t="inlineStr">
        <x:is>
          <x:t xml:space="preserve">ID</x:t>
        </x:is>
      </x:c>
      <x:c r="B3" s="6" t="inlineStr">
        <x:is>
          <x:t xml:space="preserve">Parámetro</x:t>
        </x:is>
      </x:c>
      <x:c r="C3" s="6" t="inlineStr">
        <x:is>
          <x:t xml:space="preserve">Tipo</x:t>
        </x:is>
      </x:c>
      <x:c r="D3" s="6" t="inlineStr">
        <x:is>
          <x:t xml:space="preserve">Documento</x:t>
        </x:is>
      </x:c>
      <x:c r="E3" s="6" t="inlineStr">
        <x:is>
          <x:t xml:space="preserve">Sección</x:t>
        </x:is>
      </x:c>
      <x:c r="F3" s="6" t="inlineStr">
        <x:is>
          <x:t xml:space="preserve">Evidencia</x:t>
        </x:is>
      </x:c>
      <x:c r="G3" s="6" t="inlineStr">
        <x:is>
          <x:t xml:space="preserve">Owner</x:t>
        </x:is>
      </x:c>
      <x:c r="H3" s="6" t="inlineStr">
        <x:is>
          <x:t xml:space="preserve">Estado</x:t>
        </x:is>
      </x:c>
      <x:c r="I3" s="6" t="inlineStr">
        <x:is>
          <x:t xml:space="preserve">URL/Referencia</x:t>
        </x:is>
      </x:c>
    </x:row>
    <x:row r="4" ht="18" customHeight="1">
      <x:c r="A4" s="20" t="inlineStr">
        <x:is>
          <x:t xml:space="preserve">K00</x:t>
        </x:is>
      </x:c>
      <x:c r="B4" s="9" t="inlineStr">
        <x:is>
          <x:t xml:space="preserve">Horas por año</x:t>
        </x:is>
      </x:c>
      <x:c r="C4" s="20" t="inlineStr">
        <x:is>
          <x:t xml:space="preserve">SUPUESTO</x:t>
        </x:is>
      </x:c>
      <x:c r="D4" s="9" t="inlineStr">
        <x:is>
          <x:t xml:space="preserve">—</x:t>
        </x:is>
      </x:c>
      <x:c r="E4" s="9" t="inlineStr">
        <x:is>
          <x:t xml:space="preserve">—</x:t>
        </x:is>
      </x:c>
      <x:c r="F4" s="9" t="inlineStr">
        <x:is>
          <x:t xml:space="preserve">Constante de calendario (sin año específico). | Recolectar evidencia: entrevistas + historian + LIMS + compras.</x:t>
        </x:is>
      </x:c>
      <x:c r="G4" s="9" t="inlineStr">
        <x:is>
          <x:t xml:space="preserve">TFM</x:t>
        </x:is>
      </x:c>
      <x:c r="H4" s="20" t="inlineStr">
        <x:is>
          <x:t xml:space="preserve">PENDIENTE</x:t>
        </x:is>
      </x:c>
      <x:c r="I4" s="24" t="inlineStr">
        <x:is>
          <x:t xml:space="preserve">https://github.com/tangodelta217/ACQC</x:t>
        </x:is>
      </x:c>
    </x:row>
    <x:row r="5" ht="18" customHeight="1">
      <x:c r="A5" s="20" t="inlineStr">
        <x:is>
          <x:t xml:space="preserve">K01</x:t>
        </x:is>
      </x:c>
      <x:c r="B5" s="9" t="inlineStr">
        <x:is>
          <x:t xml:space="preserve">Factor sensibilidad (bajo)</x:t>
        </x:is>
      </x:c>
      <x:c r="C5" s="20" t="inlineStr">
        <x:is>
          <x:t xml:space="preserve">SUPUESTO</x:t>
        </x:is>
      </x:c>
      <x:c r="D5" s="9" t="inlineStr">
        <x:is>
          <x:t xml:space="preserve">—</x:t>
        </x:is>
      </x:c>
      <x:c r="E5" s="9" t="inlineStr">
        <x:is>
          <x:t xml:space="preserve">—</x:t>
        </x:is>
      </x:c>
      <x:c r="F5" s="9" t="inlineStr">
        <x:is>
          <x:t xml:space="preserve">Definición interna: ±20% (bajo). | Recolectar evidencia: entrevistas + historian + LIMS + compras.</x:t>
        </x:is>
      </x:c>
      <x:c r="G5" s="9" t="inlineStr">
        <x:is>
          <x:t xml:space="preserve">TFM</x:t>
        </x:is>
      </x:c>
      <x:c r="H5" s="20" t="inlineStr">
        <x:is>
          <x:t xml:space="preserve">PENDIENTE</x:t>
        </x:is>
      </x:c>
      <x:c r="I5" s="24" t="inlineStr">
        <x:is>
          <x:t xml:space="preserve">https://github.com/tangodelta217/ACQC</x:t>
        </x:is>
      </x:c>
    </x:row>
    <x:row r="6" ht="18" customHeight="1">
      <x:c r="A6" s="20" t="inlineStr">
        <x:is>
          <x:t xml:space="preserve">K02</x:t>
        </x:is>
      </x:c>
      <x:c r="B6" s="9" t="inlineStr">
        <x:is>
          <x:t xml:space="preserve">Factor sensibilidad (alto)</x:t>
        </x:is>
      </x:c>
      <x:c r="C6" s="20" t="inlineStr">
        <x:is>
          <x:t xml:space="preserve">SUPUESTO</x:t>
        </x:is>
      </x:c>
      <x:c r="D6" s="9" t="inlineStr">
        <x:is>
          <x:t xml:space="preserve">—</x:t>
        </x:is>
      </x:c>
      <x:c r="E6" s="9" t="inlineStr">
        <x:is>
          <x:t xml:space="preserve">—</x:t>
        </x:is>
      </x:c>
      <x:c r="F6" s="9" t="inlineStr">
        <x:is>
          <x:t xml:space="preserve">Definición interna: ±20% (alto). | Recolectar evidencia: entrevistas + historian + LIMS + compras.</x:t>
        </x:is>
      </x:c>
      <x:c r="G6" s="9" t="inlineStr">
        <x:is>
          <x:t xml:space="preserve">TFM</x:t>
        </x:is>
      </x:c>
      <x:c r="H6" s="20" t="inlineStr">
        <x:is>
          <x:t xml:space="preserve">PENDIENTE</x:t>
        </x:is>
      </x:c>
      <x:c r="I6" s="24" t="inlineStr">
        <x:is>
          <x:t xml:space="preserve">https://github.com/tangodelta217/ACQC</x:t>
        </x:is>
      </x:c>
    </x:row>
    <x:row r="7" ht="18" customHeight="1">
      <x:c r="A7" s="20" t="inlineStr">
        <x:is>
          <x:t xml:space="preserve">K03</x:t>
        </x:is>
      </x:c>
      <x:c r="B7" s="9" t="inlineStr">
        <x:is>
          <x:t xml:space="preserve">Vida económica del caso</x:t>
        </x:is>
      </x:c>
      <x:c r="C7" s="20" t="inlineStr">
        <x:is>
          <x:t xml:space="preserve">SUPUESTO</x:t>
        </x:is>
      </x:c>
      <x:c r="D7" s="9" t="inlineStr">
        <x:is>
          <x:t xml:space="preserve">—</x:t>
        </x:is>
      </x:c>
      <x:c r="E7" s="9" t="inlineStr">
        <x:is>
          <x:t xml:space="preserve">—</x:t>
        </x:is>
      </x:c>
      <x:c r="F7" s="9" t="inlineStr">
        <x:is>
          <x:t xml:space="preserve">Supuesto estándar para pilotos industriales; ajustar a política financiera. | Recolectar evidencia: entrevistas + historian + LIMS + compras.</x:t>
        </x:is>
      </x:c>
      <x:c r="G7" s="9" t="inlineStr">
        <x:is>
          <x:t xml:space="preserve">Finanzas</x:t>
        </x:is>
      </x:c>
      <x:c r="H7" s="20" t="inlineStr">
        <x:is>
          <x:t xml:space="preserve">PENDIENTE</x:t>
        </x:is>
      </x:c>
      <x:c r="I7" s="24" t="inlineStr">
        <x:is>
          <x:t xml:space="preserve">https://github.com/tangodelta217/ACQC</x:t>
        </x:is>
      </x:c>
    </x:row>
    <x:row r="8" ht="18" customHeight="1">
      <x:c r="A8" s="20" t="inlineStr">
        <x:is>
          <x:t xml:space="preserve">K04</x:t>
        </x:is>
      </x:c>
      <x:c r="B8" s="9" t="inlineStr">
        <x:is>
          <x:t xml:space="preserve">Tasa de descuento (WACC/CoC)</x:t>
        </x:is>
      </x:c>
      <x:c r="C8" s="20" t="inlineStr">
        <x:is>
          <x:t xml:space="preserve">SUPUESTO</x:t>
        </x:is>
      </x:c>
      <x:c r="D8" s="9" t="inlineStr">
        <x:is>
          <x:t xml:space="preserve">—</x:t>
        </x:is>
      </x:c>
      <x:c r="E8" s="9" t="inlineStr">
        <x:is>
          <x:t xml:space="preserve">—</x:t>
        </x:is>
      </x:c>
      <x:c r="F8" s="9" t="inlineStr">
        <x:is>
          <x:t xml:space="preserve">Supuesto inicial; reemplazar por tasa corporativa. | Recolectar evidencia: entrevistas + historian + LIMS + compras.</x:t>
        </x:is>
      </x:c>
      <x:c r="G8" s="9" t="inlineStr">
        <x:is>
          <x:t xml:space="preserve">Finanzas</x:t>
        </x:is>
      </x:c>
      <x:c r="H8" s="20" t="inlineStr">
        <x:is>
          <x:t xml:space="preserve">PENDIENTE</x:t>
        </x:is>
      </x:c>
      <x:c r="I8" s="24" t="inlineStr">
        <x:is>
          <x:t xml:space="preserve">https://github.com/tangodelta217/ACQC</x:t>
        </x:is>
      </x:c>
    </x:row>
    <x:row r="9" ht="18" customHeight="1">
      <x:c r="A9" s="20" t="inlineStr">
        <x:is>
          <x:t xml:space="preserve">A01</x:t>
        </x:is>
      </x:c>
      <x:c r="B9" s="9" t="inlineStr">
        <x:is>
          <x:t xml:space="preserve">Adopción efectiva de recomendaciones (human-in-the-loop)</x:t>
        </x:is>
      </x:c>
      <x:c r="C9" s="20" t="inlineStr">
        <x:is>
          <x:t xml:space="preserve">SUPUESTO</x:t>
        </x:is>
      </x:c>
      <x:c r="D9" s="9" t="inlineStr">
        <x:is>
          <x:t xml:space="preserve">—</x:t>
        </x:is>
      </x:c>
      <x:c r="E9" s="9" t="inlineStr">
        <x:is>
          <x:t xml:space="preserve">—</x:t>
        </x:is>
      </x:c>
      <x:c r="F9" s="9" t="inlineStr">
        <x:is>
          <x:t xml:space="preserve">Modo asesor con operador en el bucle; adopción parcial es realista. | Recolectar evidencia: entrevistas + historian + LIMS + compras.</x:t>
        </x:is>
      </x:c>
      <x:c r="G9" s="9" t="inlineStr">
        <x:is>
          <x:t xml:space="preserve">Operación</x:t>
        </x:is>
      </x:c>
      <x:c r="H9" s="20" t="inlineStr">
        <x:is>
          <x:t xml:space="preserve">PENDIENTE</x:t>
        </x:is>
      </x:c>
      <x:c r="I9" s="24" t="inlineStr">
        <x:is>
          <x:t xml:space="preserve">https://github.com/tangodelta217/ACQC</x:t>
        </x:is>
      </x:c>
    </x:row>
    <x:row r="10" ht="18" customHeight="1">
      <x:c r="A10" s="20" t="inlineStr">
        <x:is>
          <x:t xml:space="preserve">A02</x:t>
        </x:is>
      </x:c>
      <x:c r="B10" s="9" t="inlineStr">
        <x:is>
          <x:t xml:space="preserve">Horas de downtime anual atribuible a incidencias de medición/calidad</x:t>
        </x:is>
      </x:c>
      <x:c r="C10" s="20" t="inlineStr">
        <x:is>
          <x:t xml:space="preserve">SUPUESTO</x:t>
        </x:is>
      </x:c>
      <x:c r="D10" s="9" t="inlineStr">
        <x:is>
          <x:t xml:space="preserve">—</x:t>
        </x:is>
      </x:c>
      <x:c r="E10" s="9" t="inlineStr">
        <x:is>
          <x:t xml:space="preserve">—</x:t>
        </x:is>
      </x:c>
      <x:c r="F10" s="9" t="inlineStr">
        <x:is>
          <x:t xml:space="preserve">Depende de histórico local; establecer con OT/Operación. | Recolectar evidencia: entrevistas + historian + LIMS + compras.</x:t>
        </x:is>
      </x:c>
      <x:c r="G10" s="9" t="inlineStr">
        <x:is>
          <x:t xml:space="preserve">OT/Operación</x:t>
        </x:is>
      </x:c>
      <x:c r="H10" s="20" t="inlineStr">
        <x:is>
          <x:t xml:space="preserve">PENDIENTE</x:t>
        </x:is>
      </x:c>
      <x:c r="I10" s="24" t="inlineStr">
        <x:is>
          <x:t xml:space="preserve">https://github.com/tangodelta217/ACQC</x:t>
        </x:is>
      </x:c>
    </x:row>
    <x:row r="11" ht="18" customHeight="1">
      <x:c r="A11" s="20" t="inlineStr">
        <x:is>
          <x:t xml:space="preserve">A03</x:t>
        </x:is>
      </x:c>
      <x:c r="B11" s="9" t="inlineStr">
        <x:is>
          <x:t xml:space="preserve">Reducción de downtime por fallback + detección (ACQC)</x:t>
        </x:is>
      </x:c>
      <x:c r="C11" s="20" t="inlineStr">
        <x:is>
          <x:t xml:space="preserve">SUPUESTO</x:t>
        </x:is>
      </x:c>
      <x:c r="D11" s="9" t="inlineStr">
        <x:is>
          <x:t xml:space="preserve">—</x:t>
        </x:is>
      </x:c>
      <x:c r="E11" s="9" t="inlineStr">
        <x:is>
          <x:t xml:space="preserve">—</x:t>
        </x:is>
      </x:c>
      <x:c r="F11" s="9" t="inlineStr">
        <x:is>
          <x:t xml:space="preserve">Se incluyen flujos degradados (fallback) y observabilidad; cuantificar con incidentes reales. | Recolectar evidencia: entrevistas + historian + LIMS + compras.</x:t>
        </x:is>
      </x:c>
      <x:c r="G11" s="9" t="inlineStr">
        <x:is>
          <x:t xml:space="preserve">OT/Operación</x:t>
        </x:is>
      </x:c>
      <x:c r="H11" s="20" t="inlineStr">
        <x:is>
          <x:t xml:space="preserve">PENDIENTE</x:t>
        </x:is>
      </x:c>
      <x:c r="I11" s="24" t="inlineStr">
        <x:is>
          <x:t xml:space="preserve">https://github.com/tangodelta217/ACQC</x:t>
        </x:is>
      </x:c>
    </x:row>
    <x:row r="12" ht="18" customHeight="1">
      <x:c r="A12" s="20" t="inlineStr">
        <x:is>
          <x:t xml:space="preserve">P01</x:t>
        </x:is>
      </x:c>
      <x:c r="B12" s="9" t="inlineStr">
        <x:is>
          <x:t xml:space="preserve">Producción anual impactada (corriente/unidad objetivo)</x:t>
        </x:is>
      </x:c>
      <x:c r="C12" s="20" t="inlineStr">
        <x:is>
          <x:t xml:space="preserve">SUPUESTO</x:t>
        </x:is>
      </x:c>
      <x:c r="D12" s="9" t="inlineStr">
        <x:is>
          <x:t xml:space="preserve">—</x:t>
        </x:is>
      </x:c>
      <x:c r="E12" s="9" t="inlineStr">
        <x:is>
          <x:t xml:space="preserve">—</x:t>
        </x:is>
      </x:c>
      <x:c r="F12" s="9" t="inlineStr">
        <x:is>
          <x:t xml:space="preserve">Requiere definir unidad y corriente en Puertollano; placeholder editable. | Recolectar evidencia: entrevistas + historian + LIMS + compras.</x:t>
        </x:is>
      </x:c>
      <x:c r="G12" s="9" t="inlineStr">
        <x:is>
          <x:t xml:space="preserve">Producción</x:t>
        </x:is>
      </x:c>
      <x:c r="H12" s="20" t="inlineStr">
        <x:is>
          <x:t xml:space="preserve">PENDIENTE</x:t>
        </x:is>
      </x:c>
      <x:c r="I12" s="24" t="inlineStr">
        <x:is>
          <x:t xml:space="preserve">https://github.com/tangodelta217/ACQC</x:t>
        </x:is>
      </x:c>
    </x:row>
    <x:row r="13" ht="18" customHeight="1">
      <x:c r="A13" s="20" t="inlineStr">
        <x:is>
          <x:t xml:space="preserve">P02</x:t>
        </x:is>
      </x:c>
      <x:c r="B13" s="9" t="inlineStr">
        <x:is>
          <x:t xml:space="preserve">Margen de contribución por tonelada (producto afectado)</x:t>
        </x:is>
      </x:c>
      <x:c r="C13" s="20" t="inlineStr">
        <x:is>
          <x:t xml:space="preserve">SUPUESTO</x:t>
        </x:is>
      </x:c>
      <x:c r="D13" s="9" t="inlineStr">
        <x:is>
          <x:t xml:space="preserve">—</x:t>
        </x:is>
      </x:c>
      <x:c r="E13" s="9" t="inlineStr">
        <x:is>
          <x:t xml:space="preserve">—</x:t>
        </x:is>
      </x:c>
      <x:c r="F13" s="9" t="inlineStr">
        <x:is>
          <x:t xml:space="preserve">Depende de slate y mercado; usar contabilidad de gestión. | Recolectar evidencia: entrevistas + historian + LIMS + compras.</x:t>
        </x:is>
      </x:c>
      <x:c r="G13" s="9" t="inlineStr">
        <x:is>
          <x:t xml:space="preserve">Finanzas</x:t>
        </x:is>
      </x:c>
      <x:c r="H13" s="20" t="inlineStr">
        <x:is>
          <x:t xml:space="preserve">PENDIENTE</x:t>
        </x:is>
      </x:c>
      <x:c r="I13" s="24" t="inlineStr">
        <x:is>
          <x:t xml:space="preserve">https://github.com/tangodelta217/ACQC</x:t>
        </x:is>
      </x:c>
    </x:row>
    <x:row r="14" ht="18" customHeight="1">
      <x:c r="A14" s="20" t="inlineStr">
        <x:is>
          <x:t xml:space="preserve">P03</x:t>
        </x:is>
      </x:c>
      <x:c r="B14" s="9" t="inlineStr">
        <x:is>
          <x:t xml:space="preserve">Mejora de throughput/rendimiento por optimización (esperada)</x:t>
        </x:is>
      </x:c>
      <x:c r="C14" s="20" t="inlineStr">
        <x:is>
          <x:t xml:space="preserve">FUENTE</x:t>
        </x:is>
      </x:c>
      <x:c r="D14" s="9" t="inlineStr">
        <x:is>
          <x:t xml:space="preserve">ACQC_Optimizacion.pdf</x:t>
        </x:is>
      </x:c>
      <x:c r="E14" s="9" t="inlineStr">
        <x:is>
          <x:t xml:space="preserve">Resultados esperados (throughput)</x:t>
        </x:is>
      </x:c>
      <x:c r="F14" s="9" t="inlineStr">
        <x:is>
          <x:t xml:space="preserve">Resultados esperados en simulación/estudios del módulo de optimización segura (no medido en planta).</x:t>
        </x:is>
      </x:c>
      <x:c r="G14" s="9" t="inlineStr">
        <x:is>
          <x:t xml:space="preserve">Proceso</x:t>
        </x:is>
      </x:c>
      <x:c r="H14" s="20" t="inlineStr">
        <x:is>
          <x:t xml:space="preserve">REFERENCIADO</x:t>
        </x:is>
      </x:c>
      <x:c r="I14" s="24" t="inlineStr">
        <x:is>
          <x:t xml:space="preserve">https://github.com/tangodelta217/ACQC</x:t>
        </x:is>
      </x:c>
    </x:row>
    <x:row r="15" ht="18" customHeight="1">
      <x:c r="A15" s="20" t="inlineStr">
        <x:is>
          <x:t xml:space="preserve">E01</x:t>
        </x:is>
      </x:c>
      <x:c r="B15" s="9" t="inlineStr">
        <x:is>
          <x:t xml:space="preserve">Consumo energético específico base</x:t>
        </x:is>
      </x:c>
      <x:c r="C15" s="20" t="inlineStr">
        <x:is>
          <x:t xml:space="preserve">SUPUESTO</x:t>
        </x:is>
      </x:c>
      <x:c r="D15" s="9" t="inlineStr">
        <x:is>
          <x:t xml:space="preserve">—</x:t>
        </x:is>
      </x:c>
      <x:c r="E15" s="9" t="inlineStr">
        <x:is>
          <x:t xml:space="preserve">—</x:t>
        </x:is>
      </x:c>
      <x:c r="F15" s="9" t="inlineStr">
        <x:is>
          <x:t xml:space="preserve">Depende de la unidad (hidrotratamiento/blending/etc.); estimación inicial editable. | Recolectar evidencia: entrevistas + historian + LIMS + compras.</x:t>
        </x:is>
      </x:c>
      <x:c r="G15" s="9" t="inlineStr">
        <x:is>
          <x:t xml:space="preserve">Energía/Proceso</x:t>
        </x:is>
      </x:c>
      <x:c r="H15" s="20" t="inlineStr">
        <x:is>
          <x:t xml:space="preserve">PENDIENTE</x:t>
        </x:is>
      </x:c>
      <x:c r="I15" s="24" t="inlineStr">
        <x:is>
          <x:t xml:space="preserve">https://github.com/tangodelta217/ACQC</x:t>
        </x:is>
      </x:c>
    </x:row>
    <x:row r="16" ht="18" customHeight="1">
      <x:c r="A16" s="20" t="inlineStr">
        <x:is>
          <x:t xml:space="preserve">E02</x:t>
        </x:is>
      </x:c>
      <x:c r="B16" s="9" t="inlineStr">
        <x:is>
          <x:t xml:space="preserve">Precio energético promedio</x:t>
        </x:is>
      </x:c>
      <x:c r="C16" s="20" t="inlineStr">
        <x:is>
          <x:t xml:space="preserve">SUPUESTO</x:t>
        </x:is>
      </x:c>
      <x:c r="D16" s="9" t="inlineStr">
        <x:is>
          <x:t xml:space="preserve">—</x:t>
        </x:is>
      </x:c>
      <x:c r="E16" s="9" t="inlineStr">
        <x:is>
          <x:t xml:space="preserve">—</x:t>
        </x:is>
      </x:c>
      <x:c r="F16" s="9" t="inlineStr">
        <x:is>
          <x:t xml:space="preserve">Depende de mix energético interno (fuel/vapor/electricidad); fijar con Finanzas/Energía. | Recolectar evidencia: entrevistas + historian + LIMS + compras.</x:t>
        </x:is>
      </x:c>
      <x:c r="G16" s="9" t="inlineStr">
        <x:is>
          <x:t xml:space="preserve">Energía/Finanzas</x:t>
        </x:is>
      </x:c>
      <x:c r="H16" s="20" t="inlineStr">
        <x:is>
          <x:t xml:space="preserve">PENDIENTE</x:t>
        </x:is>
      </x:c>
      <x:c r="I16" s="24" t="inlineStr">
        <x:is>
          <x:t xml:space="preserve">https://github.com/tangodelta217/ACQC</x:t>
        </x:is>
      </x:c>
    </x:row>
    <x:row r="17" ht="18" customHeight="1">
      <x:c r="A17" s="20" t="inlineStr">
        <x:is>
          <x:t xml:space="preserve">E03</x:t>
        </x:is>
      </x:c>
      <x:c r="B17" s="9" t="inlineStr">
        <x:is>
          <x:t xml:space="preserve">Ahorro energético por optimización (esperado)</x:t>
        </x:is>
      </x:c>
      <x:c r="C17" s="20" t="inlineStr">
        <x:is>
          <x:t xml:space="preserve">FUENTE</x:t>
        </x:is>
      </x:c>
      <x:c r="D17" s="9" t="inlineStr">
        <x:is>
          <x:t xml:space="preserve">ACQC_Optimizacion.pdf</x:t>
        </x:is>
      </x:c>
      <x:c r="E17" s="9" t="inlineStr">
        <x:is>
          <x:t xml:space="preserve">Resultados esperados (ahorro energía)</x:t>
        </x:is>
      </x:c>
      <x:c r="F17" s="9" t="inlineStr">
        <x:is>
          <x:t xml:space="preserve">Resultados esperados: reducción ~5% en consumo energético (simulación/pruebas controladas).</x:t>
        </x:is>
      </x:c>
      <x:c r="G17" s="9" t="inlineStr">
        <x:is>
          <x:t xml:space="preserve">Proceso</x:t>
        </x:is>
      </x:c>
      <x:c r="H17" s="20" t="inlineStr">
        <x:is>
          <x:t xml:space="preserve">REFERENCIADO</x:t>
        </x:is>
      </x:c>
      <x:c r="I17" s="24" t="inlineStr">
        <x:is>
          <x:t xml:space="preserve">https://github.com/tangodelta217/ACQC</x:t>
        </x:is>
      </x:c>
    </x:row>
    <x:row r="18" ht="18" customHeight="1">
      <x:c r="A18" s="20" t="inlineStr">
        <x:is>
          <x:t xml:space="preserve">Q01</x:t>
        </x:is>
      </x:c>
      <x:c r="B18" s="9" t="inlineStr">
        <x:is>
          <x:t xml:space="preserve">Tasa de scrap/rework por calidad (base)</x:t>
        </x:is>
      </x:c>
      <x:c r="C18" s="20" t="inlineStr">
        <x:is>
          <x:t xml:space="preserve">SUPUESTO</x:t>
        </x:is>
      </x:c>
      <x:c r="D18" s="9" t="inlineStr">
        <x:is>
          <x:t xml:space="preserve">—</x:t>
        </x:is>
      </x:c>
      <x:c r="E18" s="9" t="inlineStr">
        <x:is>
          <x:t xml:space="preserve">—</x:t>
        </x:is>
      </x:c>
      <x:c r="F18" s="9" t="inlineStr">
        <x:is>
          <x:t xml:space="preserve">Depende de histórico de lotes fuera de especificación; definir con QA. | Recolectar evidencia: entrevistas + historian + LIMS + compras.</x:t>
        </x:is>
      </x:c>
      <x:c r="G18" s="9" t="inlineStr">
        <x:is>
          <x:t xml:space="preserve">Calidad</x:t>
        </x:is>
      </x:c>
      <x:c r="H18" s="20" t="inlineStr">
        <x:is>
          <x:t xml:space="preserve">PENDIENTE</x:t>
        </x:is>
      </x:c>
      <x:c r="I18" s="24" t="inlineStr">
        <x:is>
          <x:t xml:space="preserve">https://github.com/tangodelta217/ACQC</x:t>
        </x:is>
      </x:c>
    </x:row>
    <x:row r="19" ht="18" customHeight="1">
      <x:c r="A19" s="20" t="inlineStr">
        <x:is>
          <x:t xml:space="preserve">Q02</x:t>
        </x:is>
      </x:c>
      <x:c r="B19" s="9" t="inlineStr">
        <x:is>
          <x:t xml:space="preserve">Coste incremental de scrap/rework</x:t>
        </x:is>
      </x:c>
      <x:c r="C19" s="20" t="inlineStr">
        <x:is>
          <x:t xml:space="preserve">SUPUESTO</x:t>
        </x:is>
      </x:c>
      <x:c r="D19" s="9" t="inlineStr">
        <x:is>
          <x:t xml:space="preserve">—</x:t>
        </x:is>
      </x:c>
      <x:c r="E19" s="9" t="inlineStr">
        <x:is>
          <x:t xml:space="preserve">—</x:t>
        </x:is>
      </x:c>
      <x:c r="F19" s="9" t="inlineStr">
        <x:is>
          <x:t xml:space="preserve">Incluye reproceso, pérdida de margen y logística; cuantificar con contabilidad. | Recolectar evidencia: entrevistas + historian + LIMS + compras.</x:t>
        </x:is>
      </x:c>
      <x:c r="G19" s="9" t="inlineStr">
        <x:is>
          <x:t xml:space="preserve">Finanzas/Calidad</x:t>
        </x:is>
      </x:c>
      <x:c r="H19" s="20" t="inlineStr">
        <x:is>
          <x:t xml:space="preserve">PENDIENTE</x:t>
        </x:is>
      </x:c>
      <x:c r="I19" s="24" t="inlineStr">
        <x:is>
          <x:t xml:space="preserve">https://github.com/tangodelta217/ACQC</x:t>
        </x:is>
      </x:c>
    </x:row>
    <x:row r="20" ht="18" customHeight="1">
      <x:c r="A20" s="20" t="inlineStr">
        <x:is>
          <x:t xml:space="preserve">Q03</x:t>
        </x:is>
      </x:c>
      <x:c r="B20" s="9" t="inlineStr">
        <x:is>
          <x:t xml:space="preserve">Reducción de scrap/rework por observabilidad inline</x:t>
        </x:is>
      </x:c>
      <x:c r="C20" s="20" t="inlineStr">
        <x:is>
          <x:t xml:space="preserve">SUPUESTO</x:t>
        </x:is>
      </x:c>
      <x:c r="D20" s="9" t="inlineStr">
        <x:is>
          <x:t xml:space="preserve">—</x:t>
        </x:is>
      </x:c>
      <x:c r="E20" s="9" t="inlineStr">
        <x:is>
          <x:t xml:space="preserve">—</x:t>
        </x:is>
      </x:c>
      <x:c r="F20" s="9" t="inlineStr">
        <x:is>
          <x:t xml:space="preserve">Mejoras por detección temprana (soft sensors + PAT) antes del laboratorio; validar en piloto. | Recolectar evidencia: entrevistas + historian + LIMS + compras.</x:t>
        </x:is>
      </x:c>
      <x:c r="G20" s="9" t="inlineStr">
        <x:is>
          <x:t xml:space="preserve">Calidad/Proceso</x:t>
        </x:is>
      </x:c>
      <x:c r="H20" s="20" t="inlineStr">
        <x:is>
          <x:t xml:space="preserve">PENDIENTE</x:t>
        </x:is>
      </x:c>
      <x:c r="I20" s="24" t="inlineStr">
        <x:is>
          <x:t xml:space="preserve">https://github.com/tangodelta217/ACQC</x:t>
        </x:is>
      </x:c>
    </x:row>
    <x:row r="21" ht="18" customHeight="1">
      <x:c r="A21" s="20" t="inlineStr">
        <x:is>
          <x:t xml:space="preserve">T01</x:t>
        </x:is>
      </x:c>
      <x:c r="B21" s="9" t="inlineStr">
        <x:is>
          <x:t xml:space="preserve">Disponibilidad objetivo del servicio (meta)</x:t>
        </x:is>
      </x:c>
      <x:c r="C21" s="20" t="inlineStr">
        <x:is>
          <x:t xml:space="preserve">FUENTE</x:t>
        </x:is>
      </x:c>
      <x:c r="D21" s="9" t="inlineStr">
        <x:is>
          <x:t xml:space="preserve">ACQC_OnePager.pdf</x:t>
        </x:is>
      </x:c>
      <x:c r="E21" s="9" t="inlineStr">
        <x:is>
          <x:t xml:space="preserve">KPIs (disponibilidad)</x:t>
        </x:is>
      </x:c>
      <x:c r="F21" s="9" t="inlineStr">
        <x:is>
          <x:t xml:space="preserve">Requisito no funcional de disponibilidad mínima del servicio.</x:t>
        </x:is>
      </x:c>
      <x:c r="G21" s="9" t="inlineStr">
        <x:is>
          <x:t xml:space="preserve">OT</x:t>
        </x:is>
      </x:c>
      <x:c r="H21" s="20" t="inlineStr">
        <x:is>
          <x:t xml:space="preserve">REFERENCIADO</x:t>
        </x:is>
      </x:c>
      <x:c r="I21" s="24" t="inlineStr">
        <x:is>
          <x:t xml:space="preserve">https://github.com/tangodelta217/ACQC</x:t>
        </x:is>
      </x:c>
    </x:row>
    <x:row r="22" ht="18" customHeight="1">
      <x:c r="A22" s="20" t="inlineStr">
        <x:is>
          <x:t xml:space="preserve">C01</x:t>
        </x:is>
      </x:c>
      <x:c r="B22" s="9" t="inlineStr">
        <x:is>
          <x:t xml:space="preserve">Analizador PAT NIR/Raman + instalación</x:t>
        </x:is>
      </x:c>
      <x:c r="C22" s="20" t="inlineStr">
        <x:is>
          <x:t xml:space="preserve">SUPUESTO</x:t>
        </x:is>
      </x:c>
      <x:c r="D22" s="9" t="inlineStr">
        <x:is>
          <x:t xml:space="preserve">—</x:t>
        </x:is>
      </x:c>
      <x:c r="E22" s="9" t="inlineStr">
        <x:is>
          <x:t xml:space="preserve">—</x:t>
        </x:is>
      </x:c>
      <x:c r="F22" s="9" t="inlineStr">
        <x:is>
          <x:t xml:space="preserve">Depende de fabricante, instalación e ingeniería; cotizar con proveedores. | Recolectar evidencia: entrevistas + historian + LIMS + compras.</x:t>
        </x:is>
      </x:c>
      <x:c r="G22" s="9" t="inlineStr">
        <x:is>
          <x:t xml:space="preserve">Compras/Instrumentación</x:t>
        </x:is>
      </x:c>
      <x:c r="H22" s="20" t="inlineStr">
        <x:is>
          <x:t xml:space="preserve">PENDIENTE</x:t>
        </x:is>
      </x:c>
      <x:c r="I22" s="24" t="inlineStr">
        <x:is>
          <x:t xml:space="preserve">https://github.com/tangodelta217/ACQC</x:t>
        </x:is>
      </x:c>
    </x:row>
    <x:row r="23" ht="18" customHeight="1">
      <x:c r="A23" s="20" t="inlineStr">
        <x:is>
          <x:t xml:space="preserve">C02</x:t>
        </x:is>
      </x:c>
      <x:c r="B23" s="9" t="inlineStr">
        <x:is>
          <x:t xml:space="preserve">Edge industrial (gateway/IPC/Jetson) + armario</x:t>
        </x:is>
      </x:c>
      <x:c r="C23" s="20" t="inlineStr">
        <x:is>
          <x:t xml:space="preserve">SUPUESTO</x:t>
        </x:is>
      </x:c>
      <x:c r="D23" s="9" t="inlineStr">
        <x:is>
          <x:t xml:space="preserve">—</x:t>
        </x:is>
      </x:c>
      <x:c r="E23" s="9" t="inlineStr">
        <x:is>
          <x:t xml:space="preserve">—</x:t>
        </x:is>
      </x:c>
      <x:c r="F23" s="9" t="inlineStr">
        <x:is>
          <x:t xml:space="preserve">Equipo industrial en DMZ con redundancia opcional; estimación inicial. | Recolectar evidencia: entrevistas + historian + LIMS + compras.</x:t>
        </x:is>
      </x:c>
      <x:c r="G23" s="9" t="inlineStr">
        <x:is>
          <x:t xml:space="preserve">OT</x:t>
        </x:is>
      </x:c>
      <x:c r="H23" s="20" t="inlineStr">
        <x:is>
          <x:t xml:space="preserve">PENDIENTE</x:t>
        </x:is>
      </x:c>
      <x:c r="I23" s="24" t="inlineStr">
        <x:is>
          <x:t xml:space="preserve">https://github.com/tangodelta217/ACQC</x:t>
        </x:is>
      </x:c>
    </x:row>
    <x:row r="24" ht="18" customHeight="1">
      <x:c r="A24" s="20" t="inlineStr">
        <x:is>
          <x:t xml:space="preserve">C03</x:t>
        </x:is>
      </x:c>
      <x:c r="B24" s="9" t="inlineStr">
        <x:is>
          <x:t xml:space="preserve">Integración OT/IT (OPC UA, dashboard, historian/LIMS)</x:t>
        </x:is>
      </x:c>
      <x:c r="C24" s="20" t="inlineStr">
        <x:is>
          <x:t xml:space="preserve">SUPUESTO</x:t>
        </x:is>
      </x:c>
      <x:c r="D24" s="9" t="inlineStr">
        <x:is>
          <x:t xml:space="preserve">—</x:t>
        </x:is>
      </x:c>
      <x:c r="E24" s="9" t="inlineStr">
        <x:is>
          <x:t xml:space="preserve">—</x:t>
        </x:is>
      </x:c>
      <x:c r="F24" s="9" t="inlineStr">
        <x:is>
          <x:t xml:space="preserve">Horas de ingeniería + pruebas; depende de accesos y complejidad OT. | Recolectar evidencia: entrevistas + historian + LIMS + compras.</x:t>
        </x:is>
      </x:c>
      <x:c r="G24" s="9" t="inlineStr">
        <x:is>
          <x:t xml:space="preserve">OT/IT</x:t>
        </x:is>
      </x:c>
      <x:c r="H24" s="20" t="inlineStr">
        <x:is>
          <x:t xml:space="preserve">PENDIENTE</x:t>
        </x:is>
      </x:c>
      <x:c r="I24" s="24" t="inlineStr">
        <x:is>
          <x:t xml:space="preserve">https://github.com/tangodelta217/ACQC</x:t>
        </x:is>
      </x:c>
    </x:row>
    <x:row r="25" ht="18" customHeight="1">
      <x:c r="A25" s="20" t="inlineStr">
        <x:is>
          <x:t xml:space="preserve">C04</x:t>
        </x:is>
      </x:c>
      <x:c r="B25" s="9" t="inlineStr">
        <x:is>
          <x:t xml:space="preserve">Ciberseguridad y hardening (certificados, firma, auditoría)</x:t>
        </x:is>
      </x:c>
      <x:c r="C25" s="20" t="inlineStr">
        <x:is>
          <x:t xml:space="preserve">SUPUESTO</x:t>
        </x:is>
      </x:c>
      <x:c r="D25" s="9" t="inlineStr">
        <x:is>
          <x:t xml:space="preserve">—</x:t>
        </x:is>
      </x:c>
      <x:c r="E25" s="9" t="inlineStr">
        <x:is>
          <x:t xml:space="preserve">—</x:t>
        </x:is>
      </x:c>
      <x:c r="F25" s="9" t="inlineStr">
        <x:is>
          <x:t xml:space="preserve">Incluye hardening, logging central, PKI local; depende de políticas corporativas. | Recolectar evidencia: entrevistas + historian + LIMS + compras.</x:t>
        </x:is>
      </x:c>
      <x:c r="G25" s="9" t="inlineStr">
        <x:is>
          <x:t xml:space="preserve">Ciberseguridad</x:t>
        </x:is>
      </x:c>
      <x:c r="H25" s="20" t="inlineStr">
        <x:is>
          <x:t xml:space="preserve">PENDIENTE</x:t>
        </x:is>
      </x:c>
      <x:c r="I25" s="24" t="inlineStr">
        <x:is>
          <x:t xml:space="preserve">https://github.com/tangodelta217/ACQC</x:t>
        </x:is>
      </x:c>
    </x:row>
    <x:row r="26" ht="18" customHeight="1">
      <x:c r="A26" s="20" t="inlineStr">
        <x:is>
          <x:t xml:space="preserve">C05</x:t>
        </x:is>
      </x:c>
      <x:c r="B26" s="9" t="inlineStr">
        <x:is>
          <x:t xml:space="preserve">Gestión de cambio, formación y documentación</x:t>
        </x:is>
      </x:c>
      <x:c r="C26" s="20" t="inlineStr">
        <x:is>
          <x:t xml:space="preserve">SUPUESTO</x:t>
        </x:is>
      </x:c>
      <x:c r="D26" s="9" t="inlineStr">
        <x:is>
          <x:t xml:space="preserve">—</x:t>
        </x:is>
      </x:c>
      <x:c r="E26" s="9" t="inlineStr">
        <x:is>
          <x:t xml:space="preserve">—</x:t>
        </x:is>
      </x:c>
      <x:c r="F26" s="9" t="inlineStr">
        <x:is>
          <x:t xml:space="preserve">Formación operadores/QA + documentación + MOC (si aplica). | Recolectar evidencia: entrevistas + historian + LIMS + compras.</x:t>
        </x:is>
      </x:c>
      <x:c r="G26" s="9" t="inlineStr">
        <x:is>
          <x:t xml:space="preserve">Operación/QA</x:t>
        </x:is>
      </x:c>
      <x:c r="H26" s="20" t="inlineStr">
        <x:is>
          <x:t xml:space="preserve">PENDIENTE</x:t>
        </x:is>
      </x:c>
      <x:c r="I26" s="24" t="inlineStr">
        <x:is>
          <x:t xml:space="preserve">https://github.com/tangodelta217/ACQC</x:t>
        </x:is>
      </x:c>
    </x:row>
    <x:row r="27" ht="18" customHeight="1">
      <x:c r="A27" s="20" t="inlineStr">
        <x:is>
          <x:t xml:space="preserve">C06</x:t>
        </x:is>
      </x:c>
      <x:c r="B27" s="9" t="inlineStr">
        <x:is>
          <x:t xml:space="preserve">Contingencia CAPEX</x:t>
        </x:is>
      </x:c>
      <x:c r="C27" s="20" t="inlineStr">
        <x:is>
          <x:t xml:space="preserve">SUPUESTO</x:t>
        </x:is>
      </x:c>
      <x:c r="D27" s="9" t="inlineStr">
        <x:is>
          <x:t xml:space="preserve">—</x:t>
        </x:is>
      </x:c>
      <x:c r="E27" s="9" t="inlineStr">
        <x:is>
          <x:t xml:space="preserve">—</x:t>
        </x:is>
      </x:c>
      <x:c r="F27" s="9" t="inlineStr">
        <x:is>
          <x:t xml:space="preserve">Buenas prácticas de estimación para pilotos. | Recolectar evidencia: entrevistas + historian + LIMS + compras.</x:t>
        </x:is>
      </x:c>
      <x:c r="G27" s="9" t="inlineStr">
        <x:is>
          <x:t xml:space="preserve">Finanzas</x:t>
        </x:is>
      </x:c>
      <x:c r="H27" s="20" t="inlineStr">
        <x:is>
          <x:t xml:space="preserve">PENDIENTE</x:t>
        </x:is>
      </x:c>
      <x:c r="I27" s="24" t="inlineStr">
        <x:is>
          <x:t xml:space="preserve">https://github.com/tangodelta217/ACQC</x:t>
        </x:is>
      </x:c>
    </x:row>
    <x:row r="28" ht="18" customHeight="1">
      <x:c r="A28" s="20" t="inlineStr">
        <x:is>
          <x:t xml:space="preserve">O01</x:t>
        </x:is>
      </x:c>
      <x:c r="B28" s="9" t="inlineStr">
        <x:is>
          <x:t xml:space="preserve">Mantenimiento anual PAT (calibración, consumibles)</x:t>
        </x:is>
      </x:c>
      <x:c r="C28" s="20" t="inlineStr">
        <x:is>
          <x:t xml:space="preserve">SUPUESTO</x:t>
        </x:is>
      </x:c>
      <x:c r="D28" s="9" t="inlineStr">
        <x:is>
          <x:t xml:space="preserve">—</x:t>
        </x:is>
      </x:c>
      <x:c r="E28" s="9" t="inlineStr">
        <x:is>
          <x:t xml:space="preserve">—</x:t>
        </x:is>
      </x:c>
      <x:c r="F28" s="9" t="inlineStr">
        <x:is>
          <x:t xml:space="preserve">Contrato de mantenimiento y recalibración periódica; dependerá del sensor. | Recolectar evidencia: entrevistas + historian + LIMS + compras.</x:t>
        </x:is>
      </x:c>
      <x:c r="G28" s="9" t="inlineStr">
        <x:is>
          <x:t xml:space="preserve">Instrumentación</x:t>
        </x:is>
      </x:c>
      <x:c r="H28" s="20" t="inlineStr">
        <x:is>
          <x:t xml:space="preserve">PENDIENTE</x:t>
        </x:is>
      </x:c>
      <x:c r="I28" s="24" t="inlineStr">
        <x:is>
          <x:t xml:space="preserve">https://github.com/tangodelta217/ACQC</x:t>
        </x:is>
      </x:c>
    </x:row>
    <x:row r="29" ht="18" customHeight="1">
      <x:c r="A29" s="20" t="inlineStr">
        <x:is>
          <x:t xml:space="preserve">O02</x:t>
        </x:is>
      </x:c>
      <x:c r="B29" s="9" t="inlineStr">
        <x:is>
          <x:t xml:space="preserve">Soporte MLOps/analítica (reentrenos, QA modelos)</x:t>
        </x:is>
      </x:c>
      <x:c r="C29" s="20" t="inlineStr">
        <x:is>
          <x:t xml:space="preserve">SUPUESTO</x:t>
        </x:is>
      </x:c>
      <x:c r="D29" s="9" t="inlineStr">
        <x:is>
          <x:t xml:space="preserve">—</x:t>
        </x:is>
      </x:c>
      <x:c r="E29" s="9" t="inlineStr">
        <x:is>
          <x:t xml:space="preserve">—</x:t>
        </x:is>
      </x:c>
      <x:c r="F29" s="9" t="inlineStr">
        <x:is>
          <x:t xml:space="preserve">Dedicación parcial (data/OT) para mantener modelos y validación. | Recolectar evidencia: entrevistas + historian + LIMS + compras.</x:t>
        </x:is>
      </x:c>
      <x:c r="G29" s="9" t="inlineStr">
        <x:is>
          <x:t xml:space="preserve">Digital/OT</x:t>
        </x:is>
      </x:c>
      <x:c r="H29" s="20" t="inlineStr">
        <x:is>
          <x:t xml:space="preserve">PENDIENTE</x:t>
        </x:is>
      </x:c>
      <x:c r="I29" s="24" t="inlineStr">
        <x:is>
          <x:t xml:space="preserve">https://github.com/tangodelta217/ACQC</x:t>
        </x:is>
      </x:c>
    </x:row>
    <x:row r="30" ht="18" customHeight="1">
      <x:c r="A30" s="20" t="inlineStr">
        <x:is>
          <x:t xml:space="preserve">O03</x:t>
        </x:is>
      </x:c>
      <x:c r="B30" s="9" t="inlineStr">
        <x:is>
          <x:t xml:space="preserve">Operación cibersegura (parches, rotación credenciales, SIEM)</x:t>
        </x:is>
      </x:c>
      <x:c r="C30" s="20" t="inlineStr">
        <x:is>
          <x:t xml:space="preserve">SUPUESTO</x:t>
        </x:is>
      </x:c>
      <x:c r="D30" s="9" t="inlineStr">
        <x:is>
          <x:t xml:space="preserve">—</x:t>
        </x:is>
      </x:c>
      <x:c r="E30" s="9" t="inlineStr">
        <x:is>
          <x:t xml:space="preserve">—</x:t>
        </x:is>
      </x:c>
      <x:c r="F30" s="9" t="inlineStr">
        <x:is>
          <x:t xml:space="preserve">Depende de SOC/CSIRT y herramientas existentes; estimación inicial. | Recolectar evidencia: entrevistas + historian + LIMS + compras.</x:t>
        </x:is>
      </x:c>
      <x:c r="G30" s="9" t="inlineStr">
        <x:is>
          <x:t xml:space="preserve">Ciberseguridad</x:t>
        </x:is>
      </x:c>
      <x:c r="H30" s="20" t="inlineStr">
        <x:is>
          <x:t xml:space="preserve">PENDIENTE</x:t>
        </x:is>
      </x:c>
      <x:c r="I30" s="24" t="inlineStr">
        <x:is>
          <x:t xml:space="preserve">https://github.com/tangodelta217/ACQC</x:t>
        </x:is>
      </x:c>
    </x:row>
    <x:row r="31" ht="18" customHeight="1">
      <x:c r="A31" s="20" t="inlineStr">
        <x:is>
          <x:t xml:space="preserve">O04</x:t>
        </x:is>
      </x:c>
      <x:c r="B31" s="9" t="inlineStr">
        <x:is>
          <x:t xml:space="preserve">Infraestructura IT (almacenamiento, backups, licencias)</x:t>
        </x:is>
      </x:c>
      <x:c r="C31" s="20" t="inlineStr">
        <x:is>
          <x:t xml:space="preserve">SUPUESTO</x:t>
        </x:is>
      </x:c>
      <x:c r="D31" s="9" t="inlineStr">
        <x:is>
          <x:t xml:space="preserve">—</x:t>
        </x:is>
      </x:c>
      <x:c r="E31" s="9" t="inlineStr">
        <x:is>
          <x:t xml:space="preserve">—</x:t>
        </x:is>
      </x:c>
      <x:c r="F31" s="9" t="inlineStr">
        <x:is>
          <x:t xml:space="preserve">Puede ser 0 si se usa infraestructura existente; confirmar. | Recolectar evidencia: entrevistas + historian + LIMS + compras.</x:t>
        </x:is>
      </x:c>
      <x:c r="G31" s="9" t="inlineStr">
        <x:is>
          <x:t xml:space="preserve">IT</x:t>
        </x:is>
      </x:c>
      <x:c r="H31" s="20" t="inlineStr">
        <x:is>
          <x:t xml:space="preserve">PENDIENTE</x:t>
        </x:is>
      </x:c>
      <x:c r="I31" s="24" t="inlineStr">
        <x:is>
          <x:t xml:space="preserve">https://github.com/tangodelta217/ACQC</x:t>
        </x:is>
      </x:c>
    </x:row>
  </x:sheetData>
  <x:mergeCells>
    <x:mergeCell ref="A1:I1"/>
    <x:mergeCell ref="A2:I2"/>
  </x:mergeCells>
  <x:pageMargins left="0.7" right="0.7" top="0.75" bottom="0.75" header="0.3" footer="0.3"/>
</x:worksheet>
</file>